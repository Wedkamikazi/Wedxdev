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Exchange_Rates" sheetId="2" state="visible" r:id="rId2"/>
    <sheet name="Data_Hub" sheetId="3" state="visible" r:id="rId3"/>
    <sheet name="Time_Deposits" sheetId="4" state="visible" r:id="rId4"/>
    <sheet name="Payment_Calendar" sheetId="5" state="visible" r:id="rId5"/>
    <sheet name="Treasury_Calendar" sheetId="6" state="visible" r:id="rId6"/>
    <sheet name="Dashboard" sheetId="7" state="visible" r:id="rId7"/>
    <sheet name="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yyyy-mm-dd h:mm:ss"/>
    <numFmt numFmtId="166" formatCode="YYYY-MM-DD"/>
    <numFmt numFmtId="167" formatCode="DD-MMM"/>
    <numFmt numFmtId="168" formatCode="#,##0 &quot;SAR&quot;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  <font>
      <b val="1"/>
    </font>
    <font>
      <i val="1"/>
      <color rgb="00666666"/>
    </font>
    <font>
      <b val="1"/>
      <color rgb="00FFFFFF"/>
      <sz val="10"/>
    </font>
    <font>
      <b val="1"/>
      <sz val="9"/>
    </font>
    <font>
      <b val="1"/>
      <color rgb="001F4E79"/>
      <sz val="9"/>
    </font>
    <font>
      <color rgb="00808080"/>
      <sz val="9"/>
    </font>
    <font>
      <b val="1"/>
      <color rgb="00FFFFFF"/>
    </font>
    <font>
      <b val="1"/>
      <color rgb="001F4E79"/>
    </font>
    <font>
      <b val="1"/>
      <color rgb="00FFFFFF"/>
      <sz val="16"/>
    </font>
    <font>
      <i val="1"/>
      <sz val="10"/>
    </font>
    <font>
      <sz val="9"/>
    </font>
  </fonts>
  <fills count="2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  <fill>
      <patternFill patternType="solid">
        <fgColor rgb="00C0C0C0"/>
        <bgColor rgb="00C0C0C0"/>
      </patternFill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0" fontId="0" fillId="0" borderId="1" pivotButton="0" quotePrefix="0" xfId="0"/>
    <xf numFmtId="4" fontId="0" fillId="0" borderId="1" pivotButton="0" quotePrefix="0" xfId="0"/>
    <xf numFmtId="0" fontId="3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13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9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6" fillId="11" borderId="2" applyAlignment="1" pivotButton="0" quotePrefix="0" xfId="0">
      <alignment horizontal="center"/>
    </xf>
    <xf numFmtId="0" fontId="6" fillId="14" borderId="2" applyAlignment="1" pivotButton="0" quotePrefix="0" xfId="0">
      <alignment horizontal="center"/>
    </xf>
    <xf numFmtId="165" fontId="0" fillId="0" borderId="1" pivotButton="0" quotePrefix="0" xfId="0"/>
    <xf numFmtId="167" fontId="7" fillId="0" borderId="1" applyAlignment="1" pivotButton="0" quotePrefix="0" xfId="0">
      <alignment horizontal="center" textRotation="45"/>
    </xf>
    <xf numFmtId="167" fontId="7" fillId="16" borderId="1" applyAlignment="1" pivotButton="0" quotePrefix="0" xfId="0">
      <alignment horizontal="center" textRotation="45"/>
    </xf>
    <xf numFmtId="167" fontId="9" fillId="17" borderId="1" applyAlignment="1" pivotButton="0" quotePrefix="0" xfId="0">
      <alignment horizontal="center" textRotation="45"/>
    </xf>
    <xf numFmtId="167" fontId="8" fillId="15" borderId="1" applyAlignment="1" pivotButton="0" quotePrefix="0" xfId="0">
      <alignment horizontal="center" textRotation="45"/>
    </xf>
    <xf numFmtId="0" fontId="10" fillId="13" borderId="2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4" fontId="0" fillId="18" borderId="1" applyAlignment="1" pivotButton="0" quotePrefix="0" xfId="0">
      <alignment horizontal="right"/>
    </xf>
    <xf numFmtId="4" fontId="0" fillId="17" borderId="1" applyAlignment="1" pivotButton="0" quotePrefix="0" xfId="0">
      <alignment horizontal="right"/>
    </xf>
    <xf numFmtId="0" fontId="4" fillId="7" borderId="2" pivotButton="0" quotePrefix="0" xfId="0"/>
    <xf numFmtId="4" fontId="4" fillId="0" borderId="2" pivotButton="0" quotePrefix="0" xfId="0"/>
    <xf numFmtId="4" fontId="4" fillId="15" borderId="2" pivotButton="0" quotePrefix="0" xfId="0"/>
    <xf numFmtId="0" fontId="11" fillId="15" borderId="1" applyAlignment="1" pivotButton="0" quotePrefix="0" xfId="0">
      <alignment horizontal="center" vertical="center" wrapText="1"/>
    </xf>
    <xf numFmtId="0" fontId="10" fillId="19" borderId="0" pivotButton="0" quotePrefix="0" xfId="0"/>
    <xf numFmtId="4" fontId="0" fillId="20" borderId="1" pivotButton="0" quotePrefix="0" xfId="0"/>
    <xf numFmtId="0" fontId="4" fillId="21" borderId="2" pivotButton="0" quotePrefix="0" xfId="0"/>
    <xf numFmtId="4" fontId="4" fillId="21" borderId="2" pivotButton="0" quotePrefix="0" xfId="0"/>
    <xf numFmtId="0" fontId="10" fillId="22" borderId="0" pivotButton="0" quotePrefix="0" xfId="0"/>
    <xf numFmtId="0" fontId="4" fillId="23" borderId="2" pivotButton="0" quotePrefix="0" xfId="0"/>
    <xf numFmtId="4" fontId="4" fillId="23" borderId="2" pivotButton="0" quotePrefix="0" xfId="0"/>
    <xf numFmtId="0" fontId="10" fillId="11" borderId="0" pivotButton="0" quotePrefix="0" xfId="0"/>
    <xf numFmtId="0" fontId="4" fillId="0" borderId="2" pivotButton="0" quotePrefix="0" xfId="0"/>
    <xf numFmtId="0" fontId="0" fillId="0" borderId="2" applyAlignment="1" pivotButton="0" quotePrefix="0" xfId="0">
      <alignment horizontal="center" wrapText="1"/>
    </xf>
    <xf numFmtId="0" fontId="12" fillId="2" borderId="0" applyAlignment="1" pivotButton="0" quotePrefix="0" xfId="0">
      <alignment horizontal="center"/>
    </xf>
    <xf numFmtId="0" fontId="13" fillId="0" borderId="0" pivotButton="0" quotePrefix="0" xfId="0"/>
    <xf numFmtId="168" fontId="0" fillId="0" borderId="1" pivotButton="0" quotePrefix="0" xfId="0"/>
    <xf numFmtId="0" fontId="3" fillId="19" borderId="0" pivotButton="0" quotePrefix="0" xfId="0"/>
    <xf numFmtId="0" fontId="1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10">
    <dxf>
      <fill>
        <patternFill patternType="solid">
          <fgColor rgb="00FFC000"/>
          <bgColor rgb="00FFC000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ED7D31"/>
          <bgColor rgb="00ED7D31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color rgb="00FFFFFF"/>
      </font>
      <fill>
        <patternFill patternType="solid">
          <fgColor rgb="007030A0"/>
          <bgColor rgb="007030A0"/>
        </patternFill>
      </fill>
    </dxf>
    <dxf>
      <fill>
        <patternFill patternType="solid">
          <fgColor rgb="00C0C0C0"/>
          <bgColor rgb="00C0C0C0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Treasury System</author>
  </authors>
  <commentList>
    <comment ref="A3" authorId="0" shapeId="0">
      <text>
        <t>Unique payment identifier</t>
      </text>
    </comment>
    <comment ref="B3" authorId="0" shapeId="0">
      <text>
        <t>AP/TD/OTHER</t>
      </text>
    </comment>
    <comment ref="C3" authorId="0" shapeId="0">
      <text>
        <t>OPEX/HR/GOV/STRATEGIC/LOAN</t>
      </text>
    </comment>
    <comment ref="D3" authorId="0" shapeId="0">
      <text>
        <t>Payee name</t>
      </text>
    </comment>
    <comment ref="E3" authorId="0" shapeId="0">
      <text>
        <t>1=Critical, 2=Standard, 3=Flexible</t>
      </text>
    </comment>
    <comment ref="F3" authorId="0" shapeId="0">
      <text>
        <t>Vendor contact info</t>
      </text>
    </comment>
    <comment ref="G3" authorId="0" shapeId="0">
      <text>
        <t>Original obligation date</t>
      </text>
    </comment>
    <comment ref="H3" authorId="0" shapeId="0">
      <text>
        <t>Calculated payment date</t>
      </text>
    </comment>
    <comment ref="I3" authorId="0" shapeId="0">
      <text>
        <t>Actual payment date</t>
      </text>
    </comment>
    <comment ref="J3" authorId="0" shapeId="0">
      <text>
        <t>Amount in original currency</t>
      </text>
    </comment>
    <comment ref="K3" authorId="0" shapeId="0">
      <text>
        <t>SAR/USD/AED/EUR/GBP/SGD</t>
      </text>
    </comment>
    <comment ref="L3" authorId="0" shapeId="0">
      <text>
        <t>Exchange rate applied</t>
      </text>
    </comment>
    <comment ref="M3" authorId="0" shapeId="0">
      <text>
        <t>Converted to base currency</t>
      </text>
    </comment>
    <comment ref="N3" authorId="0" shapeId="0">
      <text>
        <t>PND/PAID/PST1/PST2/URG/CAN</t>
      </text>
    </comment>
    <comment ref="O3" authorId="0" shapeId="0">
      <text>
        <t>Number of postponements</t>
      </text>
    </comment>
    <comment ref="P3" authorId="0" shapeId="0">
      <text>
        <t>Date of last status change</t>
      </text>
    </comment>
    <comment ref="Q3" authorId="0" shapeId="0">
      <text>
        <t>URGENT/PAYROLL/NORMAL</t>
      </text>
    </comment>
    <comment ref="R3" authorId="0" shapeId="0">
      <text>
        <t>Record creation date</t>
      </text>
    </comment>
    <comment ref="S3" authorId="0" shapeId="0">
      <text>
        <t>User who created record</t>
      </text>
    </comment>
    <comment ref="T3" authorId="0" shapeId="0">
      <text>
        <t>Last modification date</t>
      </text>
    </comment>
    <comment ref="U3" authorId="0" shapeId="0">
      <text>
        <t>User who modified record</t>
      </text>
    </comment>
    <comment ref="V3" authorId="0" shapeId="0">
      <text>
        <t>Additional comments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50" customWidth="1" min="4" max="4"/>
  </cols>
  <sheetData>
    <row r="1">
      <c r="A1" s="1" t="inlineStr">
        <is>
          <t>TREASURY MANAGEMENT SYSTEM - CONFIGURATION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Base_Currency</t>
        </is>
      </c>
      <c r="B4" s="3" t="inlineStr">
        <is>
          <t>SAR</t>
        </is>
      </c>
      <c r="C4" s="3" t="inlineStr">
        <is>
          <t>All final amounts convert to SAR</t>
        </is>
      </c>
    </row>
    <row r="5">
      <c r="A5" s="3" t="inlineStr">
        <is>
          <t>Payment_Day</t>
        </is>
      </c>
      <c r="B5" s="3" t="n">
        <v>4</v>
      </c>
      <c r="C5" s="3" t="inlineStr">
        <is>
          <t>Wednesday (1=Sunday in Saudi week)</t>
        </is>
      </c>
    </row>
    <row r="6">
      <c r="A6" s="3" t="inlineStr">
        <is>
          <t>Weekend_Days</t>
        </is>
      </c>
      <c r="B6" s="3" t="inlineStr">
        <is>
          <t>6,7</t>
        </is>
      </c>
      <c r="C6" s="3" t="inlineStr">
        <is>
          <t>Friday, Saturday (Saudi weekend)</t>
        </is>
      </c>
    </row>
    <row r="7">
      <c r="A7" s="3" t="inlineStr">
        <is>
          <t>Week_Start</t>
        </is>
      </c>
      <c r="B7" s="3" t="inlineStr">
        <is>
          <t>Sunday</t>
        </is>
      </c>
      <c r="C7" s="3" t="inlineStr">
        <is>
          <t>Saudi calendar standard</t>
        </is>
      </c>
    </row>
    <row r="8">
      <c r="A8" s="3" t="inlineStr">
        <is>
          <t>Auto_Postpone_Enabled</t>
        </is>
      </c>
      <c r="B8" s="3" t="inlineStr">
        <is>
          <t>TRUE</t>
        </is>
      </c>
      <c r="C8" s="3" t="inlineStr">
        <is>
          <t>System auto-escalates overdue items</t>
        </is>
      </c>
    </row>
    <row r="9">
      <c r="A9" s="3" t="inlineStr">
        <is>
          <t>Volatile_Buffer_Near</t>
        </is>
      </c>
      <c r="B9" s="4" t="n">
        <v>0.02</v>
      </c>
      <c r="C9" s="3" t="inlineStr">
        <is>
          <t>Buffer for Week 1-2 projections (2%)</t>
        </is>
      </c>
    </row>
    <row r="10">
      <c r="A10" s="3" t="inlineStr">
        <is>
          <t>Volatile_Buffer_Far</t>
        </is>
      </c>
      <c r="B10" s="4" t="n">
        <v>0.1</v>
      </c>
      <c r="C10" s="3" t="inlineStr">
        <is>
          <t>Buffer for Week 4+ projections (10%)</t>
        </is>
      </c>
    </row>
    <row r="11">
      <c r="A11" s="3" t="inlineStr">
        <is>
          <t>Reference_Wednesday</t>
        </is>
      </c>
      <c r="B11" s="3" t="inlineStr">
        <is>
          <t>2025-12-10</t>
        </is>
      </c>
      <c r="C11" s="3" t="inlineStr">
        <is>
          <t>Base date for Wednesday calculations</t>
        </is>
      </c>
    </row>
    <row r="12">
      <c r="A12" s="3" t="inlineStr">
        <is>
          <t>Surplus_Threshold</t>
        </is>
      </c>
      <c r="B12" s="5" t="n">
        <v>1000000</v>
      </c>
      <c r="C12" s="3" t="inlineStr">
        <is>
          <t>SAR threshold for surplus alert</t>
        </is>
      </c>
    </row>
    <row r="13">
      <c r="A13" s="3" t="inlineStr">
        <is>
          <t>Gap_Threshold</t>
        </is>
      </c>
      <c r="B13" s="3" t="n">
        <v>-500000</v>
      </c>
      <c r="C13" s="3" t="inlineStr">
        <is>
          <t>SAR threshold for critical gap alert</t>
        </is>
      </c>
    </row>
    <row r="14">
      <c r="A14" s="3" t="inlineStr">
        <is>
          <t>TD_Default_Rate</t>
        </is>
      </c>
      <c r="B14" s="4" t="n">
        <v>0.05</v>
      </c>
      <c r="C14" s="3" t="inlineStr">
        <is>
          <t>Default Time Deposit rate (5%)</t>
        </is>
      </c>
    </row>
    <row r="15">
      <c r="A15" s="3" t="inlineStr">
        <is>
          <t>Fiscal_Year_Start</t>
        </is>
      </c>
      <c r="B15" s="3" t="inlineStr">
        <is>
          <t>01-01</t>
        </is>
      </c>
      <c r="C15" s="3" t="inlineStr">
        <is>
          <t>Fiscal year start (MM-DD)</t>
        </is>
      </c>
    </row>
    <row r="18">
      <c r="A18" s="6" t="inlineStr">
        <is>
          <t>VENDOR TIER CLASSIFICATION</t>
        </is>
      </c>
    </row>
    <row r="19">
      <c r="A19" s="2" t="inlineStr">
        <is>
          <t>Tier</t>
        </is>
      </c>
      <c r="B19" s="2" t="inlineStr">
        <is>
          <t>Classification</t>
        </is>
      </c>
      <c r="C19" s="2" t="inlineStr">
        <is>
          <t>Payment Policy</t>
        </is>
      </c>
    </row>
    <row r="20">
      <c r="A20" s="7" t="n">
        <v>1</v>
      </c>
      <c r="B20" s="8" t="inlineStr">
        <is>
          <t>Critical</t>
        </is>
      </c>
      <c r="C20" s="9" t="inlineStr">
        <is>
          <t>Government, utilities, payroll, strategic partners - Zero tolerance for delay, Pay BEFORE due date</t>
        </is>
      </c>
    </row>
    <row r="21">
      <c r="A21" s="10" t="n">
        <v>2</v>
      </c>
      <c r="B21" s="11" t="inlineStr">
        <is>
          <t>Standard</t>
        </is>
      </c>
      <c r="C21" s="9" t="inlineStr">
        <is>
          <t>Regular operational vendors - Standard Wednesday payment terms</t>
        </is>
      </c>
    </row>
    <row r="22">
      <c r="A22" s="12" t="n">
        <v>3</v>
      </c>
      <c r="B22" s="13" t="inlineStr">
        <is>
          <t>Flexible</t>
        </is>
      </c>
      <c r="C22" s="9" t="inlineStr">
        <is>
          <t>Vendors with negotiable terms - Maximum float optimization, Pay AFTER due date</t>
        </is>
      </c>
    </row>
    <row r="25">
      <c r="A25" s="6" t="inlineStr">
        <is>
          <t>PAYMENT STATUS CODES</t>
        </is>
      </c>
    </row>
    <row r="26">
      <c r="A26" s="2" t="inlineStr">
        <is>
          <t>Status</t>
        </is>
      </c>
      <c r="B26" s="2" t="inlineStr">
        <is>
          <t>Code</t>
        </is>
      </c>
      <c r="C26" s="2" t="inlineStr">
        <is>
          <t>Color</t>
        </is>
      </c>
      <c r="D26" s="2" t="inlineStr">
        <is>
          <t>Description</t>
        </is>
      </c>
    </row>
    <row r="27">
      <c r="A27" s="3" t="inlineStr">
        <is>
          <t>Pending</t>
        </is>
      </c>
      <c r="B27" s="3" t="inlineStr">
        <is>
          <t>PND</t>
        </is>
      </c>
      <c r="C27" s="14" t="inlineStr">
        <is>
          <t>Amber</t>
        </is>
      </c>
      <c r="D27" s="3" t="inlineStr">
        <is>
          <t>Awaiting payment execution</t>
        </is>
      </c>
    </row>
    <row r="28">
      <c r="A28" s="3" t="inlineStr">
        <is>
          <t>Paid</t>
        </is>
      </c>
      <c r="B28" s="3" t="inlineStr">
        <is>
          <t>PAID</t>
        </is>
      </c>
      <c r="C28" s="15" t="inlineStr">
        <is>
          <t>Green</t>
        </is>
      </c>
      <c r="D28" s="3" t="inlineStr">
        <is>
          <t>Successfully executed</t>
        </is>
      </c>
    </row>
    <row r="29">
      <c r="A29" s="3" t="inlineStr">
        <is>
          <t>Postponed-1</t>
        </is>
      </c>
      <c r="B29" s="3" t="inlineStr">
        <is>
          <t>PST1</t>
        </is>
      </c>
      <c r="C29" s="16" t="inlineStr">
        <is>
          <t>Orange</t>
        </is>
      </c>
      <c r="D29" s="3" t="inlineStr">
        <is>
          <t>First automatic postponement</t>
        </is>
      </c>
    </row>
    <row r="30">
      <c r="A30" s="3" t="inlineStr">
        <is>
          <t>Postponed-2+</t>
        </is>
      </c>
      <c r="B30" s="3" t="inlineStr">
        <is>
          <t>PST2</t>
        </is>
      </c>
      <c r="C30" s="17" t="inlineStr">
        <is>
          <t>Red</t>
        </is>
      </c>
      <c r="D30" s="3" t="inlineStr">
        <is>
          <t>Multiple postponements - requires management attention</t>
        </is>
      </c>
    </row>
    <row r="31">
      <c r="A31" s="3" t="inlineStr">
        <is>
          <t>Urgent</t>
        </is>
      </c>
      <c r="B31" s="3" t="inlineStr">
        <is>
          <t>URG</t>
        </is>
      </c>
      <c r="C31" s="18" t="inlineStr">
        <is>
          <t>Purple</t>
        </is>
      </c>
      <c r="D31" s="3" t="inlineStr">
        <is>
          <t>Bypasses Wednesday rule</t>
        </is>
      </c>
    </row>
    <row r="32">
      <c r="A32" s="3" t="inlineStr">
        <is>
          <t>Cancelled</t>
        </is>
      </c>
      <c r="B32" s="3" t="inlineStr">
        <is>
          <t>CAN</t>
        </is>
      </c>
      <c r="C32" s="19" t="inlineStr">
        <is>
          <t>Grey</t>
        </is>
      </c>
      <c r="D32" s="3" t="inlineStr">
        <is>
          <t>Voided payment</t>
        </is>
      </c>
    </row>
  </sheetData>
  <mergeCells count="3">
    <mergeCell ref="A1:C1"/>
    <mergeCell ref="A18:C18"/>
    <mergeCell ref="A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EXCHANGE RATE TABLE</t>
        </is>
      </c>
    </row>
    <row r="3">
      <c r="A3" s="2" t="inlineStr">
        <is>
          <t>Currency</t>
        </is>
      </c>
      <c r="B3" s="2" t="inlineStr">
        <is>
          <t>Rate_to_SAR</t>
        </is>
      </c>
      <c r="C3" s="2" t="inlineStr">
        <is>
          <t>Effective_Date</t>
        </is>
      </c>
      <c r="D3" s="2" t="inlineStr">
        <is>
          <t>Last_Updated_By</t>
        </is>
      </c>
    </row>
    <row r="4">
      <c r="A4" s="3" t="inlineStr">
        <is>
          <t>SAR</t>
        </is>
      </c>
      <c r="B4" s="20" t="n">
        <v>1</v>
      </c>
      <c r="C4" s="21" t="n">
        <v>46001.87322215652</v>
      </c>
      <c r="D4" s="3" t="inlineStr">
        <is>
          <t>System</t>
        </is>
      </c>
    </row>
    <row r="5">
      <c r="A5" s="3" t="inlineStr">
        <is>
          <t>USD</t>
        </is>
      </c>
      <c r="B5" s="20" t="n">
        <v>3.75</v>
      </c>
      <c r="C5" s="21" t="n">
        <v>46001.87322215654</v>
      </c>
      <c r="D5" s="3" t="inlineStr">
        <is>
          <t>System</t>
        </is>
      </c>
    </row>
    <row r="6">
      <c r="A6" s="3" t="inlineStr">
        <is>
          <t>AED</t>
        </is>
      </c>
      <c r="B6" s="20" t="n">
        <v>1.02</v>
      </c>
      <c r="C6" s="21" t="n">
        <v>46001.87322215655</v>
      </c>
      <c r="D6" s="3" t="inlineStr">
        <is>
          <t>System</t>
        </is>
      </c>
    </row>
    <row r="7">
      <c r="A7" s="3" t="inlineStr">
        <is>
          <t>EUR</t>
        </is>
      </c>
      <c r="B7" s="20" t="n">
        <v>4.05</v>
      </c>
      <c r="C7" s="21" t="n">
        <v>46001.87322215655</v>
      </c>
      <c r="D7" s="3" t="inlineStr">
        <is>
          <t>System</t>
        </is>
      </c>
    </row>
    <row r="8">
      <c r="A8" s="3" t="inlineStr">
        <is>
          <t>GBP</t>
        </is>
      </c>
      <c r="B8" s="20" t="n">
        <v>4.72</v>
      </c>
      <c r="C8" s="21" t="n">
        <v>46001.87322215657</v>
      </c>
      <c r="D8" s="3" t="inlineStr">
        <is>
          <t>System</t>
        </is>
      </c>
    </row>
    <row r="9">
      <c r="A9" s="3" t="inlineStr">
        <is>
          <t>SGD</t>
        </is>
      </c>
      <c r="B9" s="20" t="n">
        <v>2.81</v>
      </c>
      <c r="C9" s="21" t="n">
        <v>46001.87322215657</v>
      </c>
      <c r="D9" s="3" t="inlineStr">
        <is>
          <t>System</t>
        </is>
      </c>
    </row>
    <row r="10">
      <c r="A10" s="3" t="inlineStr">
        <is>
          <t>JPY</t>
        </is>
      </c>
      <c r="B10" s="20" t="n">
        <v>0.025</v>
      </c>
      <c r="C10" s="21" t="n">
        <v>46001.87322215657</v>
      </c>
      <c r="D10" s="3" t="inlineStr">
        <is>
          <t>System</t>
        </is>
      </c>
    </row>
    <row r="11">
      <c r="A11" s="3" t="inlineStr">
        <is>
          <t>CHF</t>
        </is>
      </c>
      <c r="B11" s="20" t="n">
        <v>4.2</v>
      </c>
      <c r="C11" s="21" t="n">
        <v>46001.87322215657</v>
      </c>
      <c r="D11" s="3" t="inlineStr">
        <is>
          <t>System</t>
        </is>
      </c>
    </row>
    <row r="13">
      <c r="A13" s="22" t="inlineStr">
        <is>
          <t>CONVERSION FORMULA:</t>
        </is>
      </c>
    </row>
    <row r="14">
      <c r="A14" s="23">
        <f>Amount_Original * VLOOKUP(Currency_Code, Exchange_Rates!A4:B11, 2, FALSE)</f>
        <v/>
      </c>
    </row>
  </sheetData>
  <mergeCells count="1">
    <mergeCell ref="A1:D1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25" customWidth="1" min="4" max="4"/>
    <col width="10" customWidth="1" min="5" max="5"/>
    <col width="2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10" customWidth="1" min="12" max="12"/>
    <col width="15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30" customWidth="1" min="22" max="22"/>
  </cols>
  <sheetData>
    <row r="1">
      <c r="A1" s="1" t="inlineStr">
        <is>
          <t>MASTER DATA HUB - SINGLE SOURCE OF TRUTH</t>
        </is>
      </c>
    </row>
    <row r="2">
      <c r="A2" s="24" t="inlineStr">
        <is>
          <t>IDENTITY</t>
        </is>
      </c>
      <c r="D2" s="25" t="inlineStr">
        <is>
          <t>COUNTERPARTY</t>
        </is>
      </c>
      <c r="G2" s="26" t="inlineStr">
        <is>
          <t>DATES</t>
        </is>
      </c>
      <c r="J2" s="27" t="inlineStr">
        <is>
          <t>AMOUNTS</t>
        </is>
      </c>
      <c r="N2" s="28" t="inlineStr">
        <is>
          <t>STATUS ENGINE</t>
        </is>
      </c>
      <c r="R2" s="29" t="inlineStr">
        <is>
          <t>AUDIT</t>
        </is>
      </c>
    </row>
    <row r="3">
      <c r="A3" s="2" t="inlineStr">
        <is>
          <t>Payment_ID</t>
        </is>
      </c>
      <c r="B3" s="2" t="inlineStr">
        <is>
          <t>Type_Code</t>
        </is>
      </c>
      <c r="C3" s="2" t="inlineStr">
        <is>
          <t>Category</t>
        </is>
      </c>
      <c r="D3" s="2" t="inlineStr">
        <is>
          <t>Vendor_Name</t>
        </is>
      </c>
      <c r="E3" s="2" t="inlineStr">
        <is>
          <t>Vendor_Tier</t>
        </is>
      </c>
      <c r="F3" s="2" t="inlineStr">
        <is>
          <t>Contact</t>
        </is>
      </c>
      <c r="G3" s="2" t="inlineStr">
        <is>
          <t>Raw_Due_Date</t>
        </is>
      </c>
      <c r="H3" s="2" t="inlineStr">
        <is>
          <t>Target_Wednesday</t>
        </is>
      </c>
      <c r="I3" s="2" t="inlineStr">
        <is>
          <t>Value_Date</t>
        </is>
      </c>
      <c r="J3" s="2" t="inlineStr">
        <is>
          <t>Amount_Original</t>
        </is>
      </c>
      <c r="K3" s="2" t="inlineStr">
        <is>
          <t>Currency_Code</t>
        </is>
      </c>
      <c r="L3" s="2" t="inlineStr">
        <is>
          <t>FX_Rate</t>
        </is>
      </c>
      <c r="M3" s="2" t="inlineStr">
        <is>
          <t>Amount_SAR</t>
        </is>
      </c>
      <c r="N3" s="2" t="inlineStr">
        <is>
          <t>Payment_Status</t>
        </is>
      </c>
      <c r="O3" s="2" t="inlineStr">
        <is>
          <t>Postpone_Count</t>
        </is>
      </c>
      <c r="P3" s="2" t="inlineStr">
        <is>
          <t>Last_Action_Date</t>
        </is>
      </c>
      <c r="Q3" s="2" t="inlineStr">
        <is>
          <t>Priority_Flag</t>
        </is>
      </c>
      <c r="R3" s="2" t="inlineStr">
        <is>
          <t>Created_Date</t>
        </is>
      </c>
      <c r="S3" s="2" t="inlineStr">
        <is>
          <t>Created_By</t>
        </is>
      </c>
      <c r="T3" s="2" t="inlineStr">
        <is>
          <t>Modified_Date</t>
        </is>
      </c>
      <c r="U3" s="2" t="inlineStr">
        <is>
          <t>Modified_By</t>
        </is>
      </c>
      <c r="V3" s="2" t="inlineStr">
        <is>
          <t>Notes</t>
        </is>
      </c>
    </row>
    <row r="4">
      <c r="A4" s="3" t="inlineStr">
        <is>
          <t>PAY-2024-001</t>
        </is>
      </c>
      <c r="B4" s="3" t="inlineStr">
        <is>
          <t>AP</t>
        </is>
      </c>
      <c r="C4" s="3" t="inlineStr">
        <is>
          <t>OPEX</t>
        </is>
      </c>
      <c r="D4" s="3" t="inlineStr">
        <is>
          <t>Vendor Alpha Co.</t>
        </is>
      </c>
      <c r="E4" s="3" t="n">
        <v>1</v>
      </c>
      <c r="F4" s="3" t="inlineStr">
        <is>
          <t>contact@alpha.com</t>
        </is>
      </c>
      <c r="G4" s="21" t="n">
        <v>45641</v>
      </c>
      <c r="H4" s="21">
        <f>IF(OR($Q4="URGENT",$Q4="PAYROLL"),$G4,IF($E4=1,$G4-MOD($G4-DATE(2024,12,11),7),$G4+MOD(DATE(2024,12,11)-$G4+7,7)))</f>
        <v/>
      </c>
      <c r="I4" s="3" t="n"/>
      <c r="J4" s="5" t="n">
        <v>50000</v>
      </c>
      <c r="K4" s="3" t="inlineStr">
        <is>
          <t>USD</t>
        </is>
      </c>
      <c r="L4" s="20" t="n">
        <v>3.75</v>
      </c>
      <c r="M4" s="5">
        <f>$J4*$L4</f>
        <v/>
      </c>
      <c r="N4" s="3" t="inlineStr">
        <is>
          <t>PND</t>
        </is>
      </c>
      <c r="O4" s="3" t="n">
        <v>0</v>
      </c>
      <c r="P4" s="3" t="n"/>
      <c r="Q4" s="3" t="inlineStr">
        <is>
          <t>NORMAL</t>
        </is>
      </c>
      <c r="R4" s="21" t="n">
        <v>46001.87322219335</v>
      </c>
      <c r="S4" s="3" t="inlineStr">
        <is>
          <t>Admin</t>
        </is>
      </c>
      <c r="T4" s="3" t="n"/>
      <c r="U4" s="3" t="n"/>
      <c r="V4" s="3" t="inlineStr">
        <is>
          <t>Regular vendor payment</t>
        </is>
      </c>
    </row>
    <row r="5">
      <c r="A5" s="3" t="inlineStr">
        <is>
          <t>PAY-2024-002</t>
        </is>
      </c>
      <c r="B5" s="3" t="inlineStr">
        <is>
          <t>AP</t>
        </is>
      </c>
      <c r="C5" s="3" t="inlineStr">
        <is>
          <t>GOV</t>
        </is>
      </c>
      <c r="D5" s="3" t="inlineStr">
        <is>
          <t>GOSI Payment</t>
        </is>
      </c>
      <c r="E5" s="3" t="n">
        <v>1</v>
      </c>
      <c r="F5" s="3" t="inlineStr">
        <is>
          <t>gov@gosi.sa</t>
        </is>
      </c>
      <c r="G5" s="21" t="n">
        <v>45636</v>
      </c>
      <c r="H5" s="21">
        <f>IF(OR($Q5="URGENT",$Q5="PAYROLL"),$G5,IF($E5=1,$G5-MOD($G5-DATE(2024,12,11),7),$G5+MOD(DATE(2024,12,11)-$G5+7,7)))</f>
        <v/>
      </c>
      <c r="I5" s="3" t="n"/>
      <c r="J5" s="5" t="n">
        <v>125000</v>
      </c>
      <c r="K5" s="3" t="inlineStr">
        <is>
          <t>SAR</t>
        </is>
      </c>
      <c r="L5" s="20" t="n">
        <v>1</v>
      </c>
      <c r="M5" s="5">
        <f>$J5*$L5</f>
        <v/>
      </c>
      <c r="N5" s="3" t="inlineStr">
        <is>
          <t>PND</t>
        </is>
      </c>
      <c r="O5" s="3" t="n">
        <v>0</v>
      </c>
      <c r="P5" s="3" t="n"/>
      <c r="Q5" s="3" t="inlineStr">
        <is>
          <t>URGENT</t>
        </is>
      </c>
      <c r="R5" s="21" t="n">
        <v>46001.87322219339</v>
      </c>
      <c r="S5" s="3" t="inlineStr">
        <is>
          <t>Admin</t>
        </is>
      </c>
      <c r="T5" s="3" t="n"/>
      <c r="U5" s="3" t="n"/>
      <c r="V5" s="3" t="inlineStr">
        <is>
          <t>Government obligation</t>
        </is>
      </c>
    </row>
    <row r="6">
      <c r="A6" s="3" t="inlineStr">
        <is>
          <t>PAY-2024-003</t>
        </is>
      </c>
      <c r="B6" s="3" t="inlineStr">
        <is>
          <t>AP</t>
        </is>
      </c>
      <c r="C6" s="3" t="inlineStr">
        <is>
          <t>HR</t>
        </is>
      </c>
      <c r="D6" s="3" t="inlineStr">
        <is>
          <t>Monthly Payroll</t>
        </is>
      </c>
      <c r="E6" s="3" t="n">
        <v>1</v>
      </c>
      <c r="F6" s="3" t="inlineStr">
        <is>
          <t>hr@company.com</t>
        </is>
      </c>
      <c r="G6" s="21" t="n">
        <v>45651</v>
      </c>
      <c r="H6" s="21">
        <f>IF(OR($Q6="URGENT",$Q6="PAYROLL"),$G6,IF($E6=1,$G6-MOD($G6-DATE(2024,12,11),7),$G6+MOD(DATE(2024,12,11)-$G6+7,7)))</f>
        <v/>
      </c>
      <c r="I6" s="3" t="n"/>
      <c r="J6" s="5" t="n">
        <v>2500000</v>
      </c>
      <c r="K6" s="3" t="inlineStr">
        <is>
          <t>SAR</t>
        </is>
      </c>
      <c r="L6" s="20" t="n">
        <v>1</v>
      </c>
      <c r="M6" s="5">
        <f>$J6*$L6</f>
        <v/>
      </c>
      <c r="N6" s="3" t="inlineStr">
        <is>
          <t>PND</t>
        </is>
      </c>
      <c r="O6" s="3" t="n">
        <v>0</v>
      </c>
      <c r="P6" s="3" t="n"/>
      <c r="Q6" s="3" t="inlineStr">
        <is>
          <t>PAYROLL</t>
        </is>
      </c>
      <c r="R6" s="21" t="n">
        <v>46001.8732221934</v>
      </c>
      <c r="S6" s="3" t="inlineStr">
        <is>
          <t>Admin</t>
        </is>
      </c>
      <c r="T6" s="3" t="n"/>
      <c r="U6" s="3" t="n"/>
      <c r="V6" s="3" t="inlineStr">
        <is>
          <t>December payroll</t>
        </is>
      </c>
    </row>
    <row r="7">
      <c r="A7" s="3" t="inlineStr">
        <is>
          <t>PAY-2024-004</t>
        </is>
      </c>
      <c r="B7" s="3" t="inlineStr">
        <is>
          <t>AP</t>
        </is>
      </c>
      <c r="C7" s="3" t="inlineStr">
        <is>
          <t>OPEX</t>
        </is>
      </c>
      <c r="D7" s="3" t="inlineStr">
        <is>
          <t>Supplier Beta Ltd</t>
        </is>
      </c>
      <c r="E7" s="3" t="n">
        <v>2</v>
      </c>
      <c r="F7" s="3" t="inlineStr">
        <is>
          <t>pay@beta.com</t>
        </is>
      </c>
      <c r="G7" s="21" t="n">
        <v>45644</v>
      </c>
      <c r="H7" s="21">
        <f>IF(OR($Q7="URGENT",$Q7="PAYROLL"),$G7,IF($E7=1,$G7-MOD($G7-DATE(2024,12,11),7),$G7+MOD(DATE(2024,12,11)-$G7+7,7)))</f>
        <v/>
      </c>
      <c r="I7" s="3" t="n"/>
      <c r="J7" s="5" t="n">
        <v>75000</v>
      </c>
      <c r="K7" s="3" t="inlineStr">
        <is>
          <t>EUR</t>
        </is>
      </c>
      <c r="L7" s="20" t="n">
        <v>4.05</v>
      </c>
      <c r="M7" s="5">
        <f>$J7*$L7</f>
        <v/>
      </c>
      <c r="N7" s="3" t="inlineStr">
        <is>
          <t>PND</t>
        </is>
      </c>
      <c r="O7" s="3" t="n">
        <v>0</v>
      </c>
      <c r="P7" s="3" t="n"/>
      <c r="Q7" s="3" t="inlineStr">
        <is>
          <t>NORMAL</t>
        </is>
      </c>
      <c r="R7" s="21" t="n">
        <v>46001.87322219341</v>
      </c>
      <c r="S7" s="3" t="inlineStr">
        <is>
          <t>Admin</t>
        </is>
      </c>
      <c r="T7" s="3" t="n"/>
      <c r="U7" s="3" t="n"/>
      <c r="V7" s="3" t="inlineStr">
        <is>
          <t>Quarterly supplies</t>
        </is>
      </c>
    </row>
    <row r="8">
      <c r="A8" s="3" t="inlineStr">
        <is>
          <t>PAY-2024-005</t>
        </is>
      </c>
      <c r="B8" s="3" t="inlineStr">
        <is>
          <t>AP</t>
        </is>
      </c>
      <c r="C8" s="3" t="inlineStr">
        <is>
          <t>LOAN</t>
        </is>
      </c>
      <c r="D8" s="3" t="inlineStr">
        <is>
          <t>Bank Loan Principal</t>
        </is>
      </c>
      <c r="E8" s="3" t="n">
        <v>1</v>
      </c>
      <c r="F8" s="3" t="inlineStr">
        <is>
          <t>loans@bank.com</t>
        </is>
      </c>
      <c r="G8" s="21" t="n">
        <v>45657</v>
      </c>
      <c r="H8" s="21">
        <f>IF(OR($Q8="URGENT",$Q8="PAYROLL"),$G8,IF($E8=1,$G8-MOD($G8-DATE(2024,12,11),7),$G8+MOD(DATE(2024,12,11)-$G8+7,7)))</f>
        <v/>
      </c>
      <c r="I8" s="3" t="n"/>
      <c r="J8" s="5" t="n">
        <v>500000</v>
      </c>
      <c r="K8" s="3" t="inlineStr">
        <is>
          <t>SAR</t>
        </is>
      </c>
      <c r="L8" s="20" t="n">
        <v>1</v>
      </c>
      <c r="M8" s="5">
        <f>$J8*$L8</f>
        <v/>
      </c>
      <c r="N8" s="3" t="inlineStr">
        <is>
          <t>PND</t>
        </is>
      </c>
      <c r="O8" s="3" t="n">
        <v>0</v>
      </c>
      <c r="P8" s="3" t="n"/>
      <c r="Q8" s="3" t="inlineStr">
        <is>
          <t>NORMAL</t>
        </is>
      </c>
      <c r="R8" s="21" t="n">
        <v>46001.87322219341</v>
      </c>
      <c r="S8" s="3" t="inlineStr">
        <is>
          <t>Admin</t>
        </is>
      </c>
      <c r="T8" s="3" t="n"/>
      <c r="U8" s="3" t="n"/>
      <c r="V8" s="3" t="inlineStr">
        <is>
          <t>Loan installment</t>
        </is>
      </c>
    </row>
    <row r="9">
      <c r="A9" s="3" t="inlineStr">
        <is>
          <t>PAY-2024-006</t>
        </is>
      </c>
      <c r="B9" s="3" t="inlineStr">
        <is>
          <t>AP</t>
        </is>
      </c>
      <c r="C9" s="3" t="inlineStr">
        <is>
          <t>OPEX</t>
        </is>
      </c>
      <c r="D9" s="3" t="inlineStr">
        <is>
          <t>Flexible Supplier X</t>
        </is>
      </c>
      <c r="E9" s="3" t="n">
        <v>3</v>
      </c>
      <c r="F9" s="3" t="inlineStr">
        <is>
          <t>accounts@supplierx.com</t>
        </is>
      </c>
      <c r="G9" s="21" t="n">
        <v>45646</v>
      </c>
      <c r="H9" s="21">
        <f>IF(OR($Q9="URGENT",$Q9="PAYROLL"),$G9,IF($E9=1,$G9-MOD($G9-DATE(2024,12,11),7),$G9+MOD(DATE(2024,12,11)-$G9+7,7)))</f>
        <v/>
      </c>
      <c r="I9" s="3" t="n"/>
      <c r="J9" s="5" t="n">
        <v>30000</v>
      </c>
      <c r="K9" s="3" t="inlineStr">
        <is>
          <t>AED</t>
        </is>
      </c>
      <c r="L9" s="20" t="n">
        <v>1.02</v>
      </c>
      <c r="M9" s="5">
        <f>$J9*$L9</f>
        <v/>
      </c>
      <c r="N9" s="3" t="inlineStr">
        <is>
          <t>PND</t>
        </is>
      </c>
      <c r="O9" s="3" t="n">
        <v>0</v>
      </c>
      <c r="P9" s="3" t="n"/>
      <c r="Q9" s="3" t="inlineStr">
        <is>
          <t>NORMAL</t>
        </is>
      </c>
      <c r="R9" s="21" t="n">
        <v>46001.87322219343</v>
      </c>
      <c r="S9" s="3" t="inlineStr">
        <is>
          <t>Admin</t>
        </is>
      </c>
      <c r="T9" s="3" t="n"/>
      <c r="U9" s="3" t="n"/>
      <c r="V9" s="3" t="inlineStr">
        <is>
          <t>Negotiable terms</t>
        </is>
      </c>
    </row>
  </sheetData>
  <mergeCells count="7">
    <mergeCell ref="D2:F2"/>
    <mergeCell ref="G2:I2"/>
    <mergeCell ref="A1:V1"/>
    <mergeCell ref="R2:V2"/>
    <mergeCell ref="J2:M2"/>
    <mergeCell ref="N2:Q2"/>
    <mergeCell ref="A2:C2"/>
  </mergeCells>
  <conditionalFormatting sqref="N4:N1000">
    <cfRule type="cellIs" priority="1" operator="equal" dxfId="0">
      <formula>"PND"</formula>
    </cfRule>
    <cfRule type="cellIs" priority="2" operator="equal" dxfId="1">
      <formula>"PAID"</formula>
    </cfRule>
    <cfRule type="cellIs" priority="3" operator="equal" dxfId="2">
      <formula>"PST1"</formula>
    </cfRule>
    <cfRule type="cellIs" priority="4" operator="equal" dxfId="3">
      <formula>"PST2"</formula>
    </cfRule>
    <cfRule type="cellIs" priority="5" operator="equal" dxfId="4">
      <formula>"URG"</formula>
    </cfRule>
    <cfRule type="cellIs" priority="6" operator="equal" dxfId="5">
      <formula>"CAN"</formula>
    </cfRule>
  </conditionalFormatting>
  <dataValidations count="6">
    <dataValidation sqref="B4:B1000" showDropDown="0" showInputMessage="0" showErrorMessage="0" allowBlank="0" error="Select: AP, TD, or OTHER" type="list">
      <formula1>"AP,TD,OTHER"</formula1>
    </dataValidation>
    <dataValidation sqref="C4:C1000" showDropDown="0" showInputMessage="0" showErrorMessage="0" allowBlank="0" type="list">
      <formula1>"OPEX,HR,GOV,STRATEGIC,LOAN,OTHER"</formula1>
    </dataValidation>
    <dataValidation sqref="E4:E1000" showDropDown="0" showInputMessage="0" showErrorMessage="0" allowBlank="0" error="Select: 1 (Critical), 2 (Standard), or 3 (Flexible)" type="list">
      <formula1>"1,2,3"</formula1>
    </dataValidation>
    <dataValidation sqref="K4:K1000" showDropDown="0" showInputMessage="0" showErrorMessage="0" allowBlank="0" type="list">
      <formula1>"SAR,USD,AED,EUR,GBP,SGD,CHF,JPY"</formula1>
    </dataValidation>
    <dataValidation sqref="N4:N1000" showDropDown="0" showInputMessage="0" showErrorMessage="0" allowBlank="0" type="list">
      <formula1>"PND,PAID,PST1,PST2,URG,CAN"</formula1>
    </dataValidation>
    <dataValidation sqref="Q4:Q1000" showDropDown="0" showInputMessage="0" showErrorMessage="0" allowBlank="0" type="list">
      <formula1>"URGENT,PAYROLL,NORMAL"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0" customWidth="1" min="4" max="4"/>
    <col width="12" customWidth="1" min="5" max="5"/>
    <col width="14" customWidth="1" min="6" max="6"/>
    <col width="18" customWidth="1" min="7" max="7"/>
    <col width="12" customWidth="1" min="8" max="8"/>
    <col width="8" customWidth="1" min="9" max="9"/>
    <col width="16" customWidth="1" min="10" max="10"/>
    <col width="16" customWidth="1" min="11" max="11"/>
    <col width="16" customWidth="1" min="12" max="12"/>
    <col width="10" customWidth="1" min="13" max="13"/>
    <col width="16" customWidth="1" min="14" max="14"/>
    <col width="14" customWidth="1" min="15" max="15"/>
  </cols>
  <sheetData>
    <row r="1">
      <c r="A1" s="1" t="inlineStr">
        <is>
          <t>TIME DEPOSIT TRACKING MODULE</t>
        </is>
      </c>
    </row>
    <row r="3">
      <c r="A3" s="2" t="inlineStr">
        <is>
          <t>TD_ID</t>
        </is>
      </c>
      <c r="B3" s="2" t="inlineStr">
        <is>
          <t>Bank</t>
        </is>
      </c>
      <c r="C3" s="2" t="inlineStr">
        <is>
          <t>Account_No</t>
        </is>
      </c>
      <c r="D3" s="2" t="inlineStr">
        <is>
          <t>Currency</t>
        </is>
      </c>
      <c r="E3" s="2" t="inlineStr">
        <is>
          <t>Start_Date</t>
        </is>
      </c>
      <c r="F3" s="2" t="inlineStr">
        <is>
          <t>Maturity_Date</t>
        </is>
      </c>
      <c r="G3" s="2" t="inlineStr">
        <is>
          <t>Principal_Original</t>
        </is>
      </c>
      <c r="H3" s="2" t="inlineStr">
        <is>
          <t>Rate_Percent</t>
        </is>
      </c>
      <c r="I3" s="2" t="inlineStr">
        <is>
          <t>Days</t>
        </is>
      </c>
      <c r="J3" s="2" t="inlineStr">
        <is>
          <t>Profit_Original</t>
        </is>
      </c>
      <c r="K3" s="2" t="inlineStr">
        <is>
          <t>Maturity_Amount</t>
        </is>
      </c>
      <c r="L3" s="2" t="inlineStr">
        <is>
          <t>Status</t>
        </is>
      </c>
      <c r="M3" s="2" t="inlineStr">
        <is>
          <t>Week_ID</t>
        </is>
      </c>
      <c r="N3" s="2" t="inlineStr">
        <is>
          <t>Principal_SAR</t>
        </is>
      </c>
      <c r="O3" s="2" t="inlineStr">
        <is>
          <t>Profit_SAR</t>
        </is>
      </c>
    </row>
    <row r="4">
      <c r="A4" s="3" t="inlineStr">
        <is>
          <t>TD-2024-001</t>
        </is>
      </c>
      <c r="B4" s="3" t="inlineStr">
        <is>
          <t>Al Rajhi Bank</t>
        </is>
      </c>
      <c r="C4" s="3" t="inlineStr">
        <is>
          <t>SA1234567890</t>
        </is>
      </c>
      <c r="D4" s="3" t="inlineStr">
        <is>
          <t>SAR</t>
        </is>
      </c>
      <c r="E4" s="30" t="n">
        <v>45597</v>
      </c>
      <c r="F4" s="30" t="n">
        <v>45641</v>
      </c>
      <c r="G4" s="3" t="n">
        <v>5000000</v>
      </c>
      <c r="H4" s="3" t="n">
        <v>0.055</v>
      </c>
      <c r="I4" s="3">
        <f>$F4-$E4</f>
        <v/>
      </c>
      <c r="J4" s="5">
        <f>$G4*$H4*$I4/365</f>
        <v/>
      </c>
      <c r="K4" s="5">
        <f>$G4+$J4</f>
        <v/>
      </c>
      <c r="L4" s="3">
        <f>IF($F4&lt;TODAY(),"CLOSED",IF($F4=TODAY(),"ACTION REQUIRED","ACTIVE"))</f>
        <v/>
      </c>
      <c r="M4" s="3">
        <f>WEEKNUM($F4,2)</f>
        <v/>
      </c>
      <c r="N4" s="5">
        <f>IF($D4="SAR",$G4,$G4*VLOOKUP($D4,Exchange_Rates!$A$4:$B$11,2,FALSE))</f>
        <v/>
      </c>
      <c r="O4" s="5">
        <f>IF($D4="SAR",$J4,$J4*VLOOKUP($D4,Exchange_Rates!$A$4:$B$11,2,FALSE))</f>
        <v/>
      </c>
    </row>
    <row r="5">
      <c r="A5" s="3" t="inlineStr">
        <is>
          <t>TD-2024-002</t>
        </is>
      </c>
      <c r="B5" s="3" t="inlineStr">
        <is>
          <t>Saudi National Bank</t>
        </is>
      </c>
      <c r="C5" s="3" t="inlineStr">
        <is>
          <t>SA0987654321</t>
        </is>
      </c>
      <c r="D5" s="3" t="inlineStr">
        <is>
          <t>SAR</t>
        </is>
      </c>
      <c r="E5" s="30" t="n">
        <v>45611</v>
      </c>
      <c r="F5" s="30" t="n">
        <v>45646</v>
      </c>
      <c r="G5" s="3" t="n">
        <v>3000000</v>
      </c>
      <c r="H5" s="3" t="n">
        <v>0.052</v>
      </c>
      <c r="I5" s="3">
        <f>$F5-$E5</f>
        <v/>
      </c>
      <c r="J5" s="5">
        <f>$G5*$H5*$I5/365</f>
        <v/>
      </c>
      <c r="K5" s="5">
        <f>$G5+$J5</f>
        <v/>
      </c>
      <c r="L5" s="3">
        <f>IF($F5&lt;TODAY(),"CLOSED",IF($F5=TODAY(),"ACTION REQUIRED","ACTIVE"))</f>
        <v/>
      </c>
      <c r="M5" s="3">
        <f>WEEKNUM($F5,2)</f>
        <v/>
      </c>
      <c r="N5" s="5">
        <f>IF($D5="SAR",$G5,$G5*VLOOKUP($D5,Exchange_Rates!$A$4:$B$11,2,FALSE))</f>
        <v/>
      </c>
      <c r="O5" s="5">
        <f>IF($D5="SAR",$J5,$J5*VLOOKUP($D5,Exchange_Rates!$A$4:$B$11,2,FALSE))</f>
        <v/>
      </c>
    </row>
    <row r="6">
      <c r="A6" s="3" t="inlineStr">
        <is>
          <t>TD-2024-003</t>
        </is>
      </c>
      <c r="B6" s="3" t="inlineStr">
        <is>
          <t>SABB</t>
        </is>
      </c>
      <c r="C6" s="3" t="inlineStr">
        <is>
          <t>SA1122334455</t>
        </is>
      </c>
      <c r="D6" s="3" t="inlineStr">
        <is>
          <t>USD</t>
        </is>
      </c>
      <c r="E6" s="30" t="n">
        <v>45566</v>
      </c>
      <c r="F6" s="30" t="n">
        <v>45657</v>
      </c>
      <c r="G6" s="3" t="n">
        <v>1000000</v>
      </c>
      <c r="H6" s="3" t="n">
        <v>0.048</v>
      </c>
      <c r="I6" s="3">
        <f>$F6-$E6</f>
        <v/>
      </c>
      <c r="J6" s="5">
        <f>$G6*$H6*$I6/365</f>
        <v/>
      </c>
      <c r="K6" s="5">
        <f>$G6+$J6</f>
        <v/>
      </c>
      <c r="L6" s="3">
        <f>IF($F6&lt;TODAY(),"CLOSED",IF($F6=TODAY(),"ACTION REQUIRED","ACTIVE"))</f>
        <v/>
      </c>
      <c r="M6" s="3">
        <f>WEEKNUM($F6,2)</f>
        <v/>
      </c>
      <c r="N6" s="5">
        <f>IF($D6="SAR",$G6,$G6*VLOOKUP($D6,Exchange_Rates!$A$4:$B$11,2,FALSE))</f>
        <v/>
      </c>
      <c r="O6" s="5">
        <f>IF($D6="SAR",$J6,$J6*VLOOKUP($D6,Exchange_Rates!$A$4:$B$11,2,FALSE))</f>
        <v/>
      </c>
    </row>
    <row r="7">
      <c r="A7" s="3" t="inlineStr">
        <is>
          <t>TD-2024-004</t>
        </is>
      </c>
      <c r="B7" s="3" t="inlineStr">
        <is>
          <t>Riyad Bank</t>
        </is>
      </c>
      <c r="C7" s="3" t="inlineStr">
        <is>
          <t>SA5544332211</t>
        </is>
      </c>
      <c r="D7" s="3" t="inlineStr">
        <is>
          <t>SAR</t>
        </is>
      </c>
      <c r="E7" s="30" t="n">
        <v>45627</v>
      </c>
      <c r="F7" s="30" t="n">
        <v>45672</v>
      </c>
      <c r="G7" s="3" t="n">
        <v>2000000</v>
      </c>
      <c r="H7" s="3" t="n">
        <v>0.05</v>
      </c>
      <c r="I7" s="3">
        <f>$F7-$E7</f>
        <v/>
      </c>
      <c r="J7" s="5">
        <f>$G7*$H7*$I7/365</f>
        <v/>
      </c>
      <c r="K7" s="5">
        <f>$G7+$J7</f>
        <v/>
      </c>
      <c r="L7" s="3">
        <f>IF($F7&lt;TODAY(),"CLOSED",IF($F7=TODAY(),"ACTION REQUIRED","ACTIVE"))</f>
        <v/>
      </c>
      <c r="M7" s="3">
        <f>WEEKNUM($F7,2)</f>
        <v/>
      </c>
      <c r="N7" s="5">
        <f>IF($D7="SAR",$G7,$G7*VLOOKUP($D7,Exchange_Rates!$A$4:$B$11,2,FALSE))</f>
        <v/>
      </c>
      <c r="O7" s="5">
        <f>IF($D7="SAR",$J7,$J7*VLOOKUP($D7,Exchange_Rates!$A$4:$B$11,2,FALSE))</f>
        <v/>
      </c>
    </row>
    <row r="8">
      <c r="A8" s="3" t="inlineStr">
        <is>
          <t>TD-2024-005</t>
        </is>
      </c>
      <c r="B8" s="3" t="inlineStr">
        <is>
          <t>Al Rajhi Bank</t>
        </is>
      </c>
      <c r="C8" s="3" t="inlineStr">
        <is>
          <t>SA9988776655</t>
        </is>
      </c>
      <c r="D8" s="3" t="inlineStr">
        <is>
          <t>SAR</t>
        </is>
      </c>
      <c r="E8" s="30" t="n">
        <v>45631</v>
      </c>
      <c r="F8" s="30" t="n">
        <v>45693</v>
      </c>
      <c r="G8" s="3" t="n">
        <v>4000000</v>
      </c>
      <c r="H8" s="3" t="n">
        <v>0.053</v>
      </c>
      <c r="I8" s="3">
        <f>$F8-$E8</f>
        <v/>
      </c>
      <c r="J8" s="5">
        <f>$G8*$H8*$I8/365</f>
        <v/>
      </c>
      <c r="K8" s="5">
        <f>$G8+$J8</f>
        <v/>
      </c>
      <c r="L8" s="3">
        <f>IF($F8&lt;TODAY(),"CLOSED",IF($F8=TODAY(),"ACTION REQUIRED","ACTIVE"))</f>
        <v/>
      </c>
      <c r="M8" s="3">
        <f>WEEKNUM($F8,2)</f>
        <v/>
      </c>
      <c r="N8" s="5">
        <f>IF($D8="SAR",$G8,$G8*VLOOKUP($D8,Exchange_Rates!$A$4:$B$11,2,FALSE))</f>
        <v/>
      </c>
      <c r="O8" s="5">
        <f>IF($D8="SAR",$J8,$J8*VLOOKUP($D8,Exchange_Rates!$A$4:$B$11,2,FALSE))</f>
        <v/>
      </c>
    </row>
    <row r="12">
      <c r="A12" s="6" t="inlineStr">
        <is>
          <t>MATURITY LADDER (LIQUIDITY PLANNING)</t>
        </is>
      </c>
    </row>
    <row r="13">
      <c r="A13" s="2" t="inlineStr">
        <is>
          <t>Period</t>
        </is>
      </c>
      <c r="B13" s="2" t="inlineStr">
        <is>
          <t>Principal Maturing (SAR)</t>
        </is>
      </c>
      <c r="C13" s="2" t="inlineStr">
        <is>
          <t>Interest Earned (SAR)</t>
        </is>
      </c>
      <c r="D13" s="2" t="inlineStr">
        <is>
          <t>Total Available</t>
        </is>
      </c>
      <c r="E13" s="2" t="inlineStr">
        <is>
          <t>Count</t>
        </is>
      </c>
      <c r="F13" s="2" t="inlineStr">
        <is>
          <t>Cumulative</t>
        </is>
      </c>
    </row>
    <row r="14">
      <c r="A14" s="3" t="inlineStr">
        <is>
          <t>This Week</t>
        </is>
      </c>
      <c r="B14" s="5">
        <f>SUMIFS($N$4:$N$100,$M$4:$M$100,WEEKNUM(TODAY(),2))</f>
        <v/>
      </c>
      <c r="C14" s="5">
        <f>SUMIFS($O$4:$O$100,$M$4:$M$100,WEEKNUM(TODAY(),2))</f>
        <v/>
      </c>
      <c r="D14" s="5">
        <f>$B14+$C14</f>
        <v/>
      </c>
    </row>
    <row r="15">
      <c r="A15" s="3" t="inlineStr">
        <is>
          <t>Week +1</t>
        </is>
      </c>
      <c r="B15" s="5">
        <f>SUMIFS($N$4:$N$100,$M$4:$M$100,WEEKNUM(TODAY(),2)+1)</f>
        <v/>
      </c>
      <c r="C15" s="5">
        <f>SUMIFS($O$4:$O$100,$M$4:$M$100,WEEKNUM(TODAY(),2)+1)</f>
        <v/>
      </c>
      <c r="D15" s="5">
        <f>$B15+$C15</f>
        <v/>
      </c>
    </row>
    <row r="16">
      <c r="A16" s="3" t="inlineStr">
        <is>
          <t>Week +2</t>
        </is>
      </c>
      <c r="B16" s="5">
        <f>SUMIFS($N$4:$N$100,$M$4:$M$100,WEEKNUM(TODAY(),2)+2)</f>
        <v/>
      </c>
      <c r="C16" s="5">
        <f>SUMIFS($O$4:$O$100,$M$4:$M$100,WEEKNUM(TODAY(),2)+2)</f>
        <v/>
      </c>
      <c r="D16" s="5">
        <f>$B16+$C16</f>
        <v/>
      </c>
    </row>
    <row r="17">
      <c r="A17" s="3" t="inlineStr">
        <is>
          <t>Week +3</t>
        </is>
      </c>
      <c r="B17" s="5">
        <f>SUMIFS($N$4:$N$100,$M$4:$M$100,WEEKNUM(TODAY(),2)+3)</f>
        <v/>
      </c>
      <c r="C17" s="5">
        <f>SUMIFS($O$4:$O$100,$M$4:$M$100,WEEKNUM(TODAY(),2)+3)</f>
        <v/>
      </c>
      <c r="D17" s="5">
        <f>$B17+$C17</f>
        <v/>
      </c>
    </row>
    <row r="18">
      <c r="A18" s="3" t="inlineStr">
        <is>
          <t>Month +1</t>
        </is>
      </c>
      <c r="B18" s="5">
        <f>SUMIFS($N$4:$N$100,$F$4:$F$100,"&gt;="&amp;DATE(YEAR(TODAY()),MONTH(TODAY())+1,1),$F$4:$F$100,"&lt;"&amp;DATE(YEAR(TODAY()),MONTH(TODAY())+2,1))</f>
        <v/>
      </c>
      <c r="C18" s="5">
        <f>SUMIFS($O$4:$O$100,$F$4:$F$100,"&gt;="&amp;DATE(YEAR(TODAY()),MONTH(TODAY())+1,1),$F$4:$F$100,"&lt;"&amp;DATE(YEAR(TODAY()),MONTH(TODAY())+2,1))</f>
        <v/>
      </c>
      <c r="D18" s="5">
        <f>$B18+$C18</f>
        <v/>
      </c>
    </row>
    <row r="21">
      <c r="A21" s="6" t="inlineStr">
        <is>
          <t>BANK CONCENTRATION ANALYSIS</t>
        </is>
      </c>
      <c r="G21" s="6" t="inlineStr">
        <is>
          <t>CURRENCY BREAKDOWN</t>
        </is>
      </c>
    </row>
    <row r="22">
      <c r="A22" s="2" t="inlineStr">
        <is>
          <t>Bank</t>
        </is>
      </c>
      <c r="B22" s="2" t="inlineStr">
        <is>
          <t>Active TDs</t>
        </is>
      </c>
      <c r="C22" s="2" t="inlineStr">
        <is>
          <t>Total Principal (SAR)</t>
        </is>
      </c>
      <c r="D22" s="2" t="inlineStr">
        <is>
          <t>% of Portfolio</t>
        </is>
      </c>
      <c r="E22" s="2" t="inlineStr">
        <is>
          <t>Avg Rate</t>
        </is>
      </c>
      <c r="G22" s="2" t="inlineStr">
        <is>
          <t>Currency</t>
        </is>
      </c>
      <c r="H22" s="2" t="inlineStr">
        <is>
          <t>Principal (Original)</t>
        </is>
      </c>
      <c r="I22" s="2" t="inlineStr">
        <is>
          <t>Principal (SAR)</t>
        </is>
      </c>
      <c r="J22" s="2" t="inlineStr">
        <is>
          <t>Count</t>
        </is>
      </c>
      <c r="K22" s="2" t="inlineStr">
        <is>
          <t>% of Total</t>
        </is>
      </c>
    </row>
    <row r="23">
      <c r="A23" s="3" t="inlineStr">
        <is>
          <t>Al Rajhi Bank</t>
        </is>
      </c>
      <c r="B23" s="3">
        <f>COUNTIFS($B$4:$B$100,"Al Rajhi Bank",$L$4:$L$100,"ACTIVE")</f>
        <v/>
      </c>
      <c r="C23" s="5">
        <f>SUMIFS($N$4:$N$100,$B$4:$B$100,"Al Rajhi Bank",$L$4:$L$100,"ACTIVE")</f>
        <v/>
      </c>
      <c r="D23" s="4">
        <f>IFERROR($C23/SUM($C$23:$C$26),0)</f>
        <v/>
      </c>
      <c r="E23" s="4">
        <f>IFERROR(AVERAGEIFS($H$4:$H$100,$B$4:$B$100,"Al Rajhi Bank",$L$4:$L$100,"ACTIVE"),0)</f>
        <v/>
      </c>
      <c r="G23" s="3" t="inlineStr">
        <is>
          <t>SAR</t>
        </is>
      </c>
      <c r="H23" s="5">
        <f>SUMIFS($G$4:$G$100,$D$4:$D$100,"SAR",$L$4:$L$100,"ACTIVE")</f>
        <v/>
      </c>
      <c r="I23" s="5">
        <f>SUMIFS($N$4:$N$100,$D$4:$D$100,"SAR",$L$4:$L$100,"ACTIVE")</f>
        <v/>
      </c>
      <c r="J23" s="3">
        <f>COUNTIFS($D$4:$D$100,"SAR",$L$4:$L$100,"ACTIVE")</f>
        <v/>
      </c>
      <c r="K23" s="4">
        <f>IFERROR($I23/SUM($I$23:$I$26),0)</f>
        <v/>
      </c>
    </row>
    <row r="24">
      <c r="A24" s="3" t="inlineStr">
        <is>
          <t>Saudi National Bank</t>
        </is>
      </c>
      <c r="B24" s="3">
        <f>COUNTIFS($B$4:$B$100,"Saudi National Bank",$L$4:$L$100,"ACTIVE")</f>
        <v/>
      </c>
      <c r="C24" s="5">
        <f>SUMIFS($N$4:$N$100,$B$4:$B$100,"Saudi National Bank",$L$4:$L$100,"ACTIVE")</f>
        <v/>
      </c>
      <c r="D24" s="4">
        <f>IFERROR($C24/SUM($C$23:$C$26),0)</f>
        <v/>
      </c>
      <c r="E24" s="4">
        <f>IFERROR(AVERAGEIFS($H$4:$H$100,$B$4:$B$100,"Saudi National Bank",$L$4:$L$100,"ACTIVE"),0)</f>
        <v/>
      </c>
      <c r="G24" s="3" t="inlineStr">
        <is>
          <t>USD</t>
        </is>
      </c>
      <c r="H24" s="5">
        <f>SUMIFS($G$4:$G$100,$D$4:$D$100,"USD",$L$4:$L$100,"ACTIVE")</f>
        <v/>
      </c>
      <c r="I24" s="5">
        <f>SUMIFS($N$4:$N$100,$D$4:$D$100,"USD",$L$4:$L$100,"ACTIVE")</f>
        <v/>
      </c>
      <c r="J24" s="3">
        <f>COUNTIFS($D$4:$D$100,"USD",$L$4:$L$100,"ACTIVE")</f>
        <v/>
      </c>
      <c r="K24" s="4">
        <f>IFERROR($I24/SUM($I$23:$I$26),0)</f>
        <v/>
      </c>
    </row>
    <row r="25">
      <c r="A25" s="3" t="inlineStr">
        <is>
          <t>SABB</t>
        </is>
      </c>
      <c r="B25" s="3">
        <f>COUNTIFS($B$4:$B$100,"SABB",$L$4:$L$100,"ACTIVE")</f>
        <v/>
      </c>
      <c r="C25" s="5">
        <f>SUMIFS($N$4:$N$100,$B$4:$B$100,"SABB",$L$4:$L$100,"ACTIVE")</f>
        <v/>
      </c>
      <c r="D25" s="4">
        <f>IFERROR($C25/SUM($C$23:$C$26),0)</f>
        <v/>
      </c>
      <c r="E25" s="4">
        <f>IFERROR(AVERAGEIFS($H$4:$H$100,$B$4:$B$100,"SABB",$L$4:$L$100,"ACTIVE"),0)</f>
        <v/>
      </c>
      <c r="G25" s="3" t="inlineStr">
        <is>
          <t>EUR</t>
        </is>
      </c>
      <c r="H25" s="5">
        <f>SUMIFS($G$4:$G$100,$D$4:$D$100,"EUR",$L$4:$L$100,"ACTIVE")</f>
        <v/>
      </c>
      <c r="I25" s="5">
        <f>SUMIFS($N$4:$N$100,$D$4:$D$100,"EUR",$L$4:$L$100,"ACTIVE")</f>
        <v/>
      </c>
      <c r="J25" s="3">
        <f>COUNTIFS($D$4:$D$100,"EUR",$L$4:$L$100,"ACTIVE")</f>
        <v/>
      </c>
      <c r="K25" s="4">
        <f>IFERROR($I25/SUM($I$23:$I$26),0)</f>
        <v/>
      </c>
    </row>
    <row r="26">
      <c r="A26" s="3" t="inlineStr">
        <is>
          <t>Riyad Bank</t>
        </is>
      </c>
      <c r="B26" s="3">
        <f>COUNTIFS($B$4:$B$100,"Riyad Bank",$L$4:$L$100,"ACTIVE")</f>
        <v/>
      </c>
      <c r="C26" s="5">
        <f>SUMIFS($N$4:$N$100,$B$4:$B$100,"Riyad Bank",$L$4:$L$100,"ACTIVE")</f>
        <v/>
      </c>
      <c r="D26" s="4">
        <f>IFERROR($C26/SUM($C$23:$C$26),0)</f>
        <v/>
      </c>
      <c r="E26" s="4">
        <f>IFERROR(AVERAGEIFS($H$4:$H$100,$B$4:$B$100,"Riyad Bank",$L$4:$L$100,"ACTIVE"),0)</f>
        <v/>
      </c>
      <c r="G26" s="3" t="inlineStr">
        <is>
          <t>GBP</t>
        </is>
      </c>
      <c r="H26" s="5">
        <f>SUMIFS($G$4:$G$100,$D$4:$D$100,"GBP",$L$4:$L$100,"ACTIVE")</f>
        <v/>
      </c>
      <c r="I26" s="5">
        <f>SUMIFS($N$4:$N$100,$D$4:$D$100,"GBP",$L$4:$L$100,"ACTIVE")</f>
        <v/>
      </c>
      <c r="J26" s="3">
        <f>COUNTIFS($D$4:$D$100,"GBP",$L$4:$L$100,"ACTIVE")</f>
        <v/>
      </c>
      <c r="K26" s="4">
        <f>IFERROR($I26/SUM($I$23:$I$26),0)</f>
        <v/>
      </c>
    </row>
  </sheetData>
  <mergeCells count="4">
    <mergeCell ref="A21:E21"/>
    <mergeCell ref="A1:O1"/>
    <mergeCell ref="A12:F12"/>
    <mergeCell ref="G21:K21"/>
  </mergeCells>
  <conditionalFormatting sqref="L4:L100">
    <cfRule type="cellIs" priority="1" operator="equal" dxfId="6">
      <formula>"ACTIVE"</formula>
    </cfRule>
    <cfRule type="cellIs" priority="2" operator="equal" dxfId="7">
      <formula>"ACTION REQUIRED"</formula>
    </cfRule>
    <cfRule type="cellIs" priority="3" operator="equal" dxfId="5">
      <formula>"CLOSED"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PAYMENT CALENDAR - WEDNESDAY PAYMENT SCHEDULE</t>
        </is>
      </c>
    </row>
    <row r="3">
      <c r="A3" s="2" t="inlineStr">
        <is>
          <t>Category</t>
        </is>
      </c>
      <c r="B3" s="2" t="inlineStr">
        <is>
          <t>Vendor</t>
        </is>
      </c>
      <c r="C3" s="2" t="inlineStr">
        <is>
          <t>Status</t>
        </is>
      </c>
      <c r="D3" s="2" t="inlineStr">
        <is>
          <t>Amount_SAR</t>
        </is>
      </c>
      <c r="E3" s="31" t="n">
        <v>45998.87322226806</v>
      </c>
      <c r="F3" s="31" t="n">
        <v>45999.87322226806</v>
      </c>
      <c r="G3" s="31" t="n">
        <v>46000.87322226806</v>
      </c>
      <c r="H3" s="32" t="n">
        <v>46001.87322226806</v>
      </c>
      <c r="I3" s="31" t="n">
        <v>46002.87322226806</v>
      </c>
      <c r="J3" s="33" t="n">
        <v>46003.87322226806</v>
      </c>
      <c r="K3" s="33" t="n">
        <v>46004.87322226806</v>
      </c>
      <c r="L3" s="31" t="n">
        <v>46005.87322226806</v>
      </c>
      <c r="M3" s="31" t="n">
        <v>46006.87322226806</v>
      </c>
      <c r="N3" s="31" t="n">
        <v>46007.87322226806</v>
      </c>
      <c r="O3" s="34" t="n">
        <v>46008.87322226806</v>
      </c>
      <c r="P3" s="31" t="n">
        <v>46009.87322226806</v>
      </c>
      <c r="Q3" s="33" t="n">
        <v>46010.87322226806</v>
      </c>
      <c r="R3" s="33" t="n">
        <v>46011.87322226806</v>
      </c>
      <c r="S3" s="31" t="n">
        <v>46012.87322226806</v>
      </c>
      <c r="T3" s="31" t="n">
        <v>46013.87322226806</v>
      </c>
      <c r="U3" s="31" t="n">
        <v>46014.87322226806</v>
      </c>
      <c r="V3" s="34" t="n">
        <v>46015.87322226806</v>
      </c>
      <c r="W3" s="31" t="n">
        <v>46016.87322226806</v>
      </c>
      <c r="X3" s="33" t="n">
        <v>46017.87322226806</v>
      </c>
      <c r="Y3" s="33" t="n">
        <v>46018.87322226806</v>
      </c>
      <c r="Z3" s="31" t="n">
        <v>46019.87322226806</v>
      </c>
      <c r="AA3" s="31" t="n">
        <v>46020.87322226806</v>
      </c>
      <c r="AB3" s="31" t="n">
        <v>46021.87322226806</v>
      </c>
      <c r="AC3" s="34" t="n">
        <v>46022.87322226806</v>
      </c>
      <c r="AD3" s="31" t="n">
        <v>46023.87322226806</v>
      </c>
      <c r="AE3" s="33" t="n">
        <v>46024.87322226806</v>
      </c>
      <c r="AF3" s="33" t="n">
        <v>46025.87322226806</v>
      </c>
      <c r="AG3" s="31" t="n">
        <v>46026.87322226806</v>
      </c>
      <c r="AH3" s="31" t="n">
        <v>46027.87322226806</v>
      </c>
    </row>
    <row r="4">
      <c r="A4" s="35" t="inlineStr">
        <is>
          <t>OPERATING EXPENSES (OPEX)</t>
        </is>
      </c>
    </row>
    <row r="5">
      <c r="A5" s="3" t="inlineStr"/>
      <c r="B5" s="3" t="inlineStr">
        <is>
          <t>Vendor Alpha Co.</t>
        </is>
      </c>
      <c r="C5" s="36" t="inlineStr">
        <is>
          <t>PND</t>
        </is>
      </c>
      <c r="D5" s="5" t="n">
        <v>187500</v>
      </c>
      <c r="E5" s="37" t="n"/>
      <c r="F5" s="37" t="n"/>
      <c r="G5" s="37" t="n"/>
      <c r="H5" s="38" t="n"/>
      <c r="I5" s="37" t="n"/>
      <c r="J5" s="39" t="n"/>
      <c r="K5" s="39" t="n"/>
      <c r="L5" s="37" t="n"/>
      <c r="M5" s="37" t="n"/>
      <c r="N5" s="37" t="n"/>
      <c r="O5" s="38" t="n"/>
      <c r="P5" s="37" t="n"/>
      <c r="Q5" s="39" t="n"/>
      <c r="R5" s="39" t="n"/>
      <c r="S5" s="37" t="n"/>
      <c r="T5" s="37" t="n"/>
      <c r="U5" s="37" t="n"/>
      <c r="V5" s="38" t="n"/>
      <c r="W5" s="37" t="n"/>
      <c r="X5" s="39" t="n"/>
      <c r="Y5" s="39" t="n"/>
      <c r="Z5" s="37" t="n"/>
      <c r="AA5" s="37" t="n"/>
      <c r="AB5" s="37" t="n"/>
      <c r="AC5" s="38" t="n"/>
      <c r="AD5" s="37" t="n"/>
      <c r="AE5" s="39" t="n"/>
      <c r="AF5" s="39" t="n"/>
      <c r="AG5" s="37" t="n"/>
      <c r="AH5" s="37" t="n"/>
    </row>
    <row r="6">
      <c r="A6" s="3" t="inlineStr"/>
      <c r="B6" s="3" t="inlineStr">
        <is>
          <t>Supplier Beta Ltd</t>
        </is>
      </c>
      <c r="C6" s="36" t="inlineStr">
        <is>
          <t>PND</t>
        </is>
      </c>
      <c r="D6" s="5" t="n">
        <v>303750</v>
      </c>
      <c r="E6" s="37" t="n"/>
      <c r="F6" s="37" t="n"/>
      <c r="G6" s="37" t="n"/>
      <c r="H6" s="38" t="n"/>
      <c r="I6" s="37" t="n"/>
      <c r="J6" s="39" t="n"/>
      <c r="K6" s="39" t="n"/>
      <c r="L6" s="37" t="n"/>
      <c r="M6" s="37" t="n"/>
      <c r="N6" s="37" t="n"/>
      <c r="O6" s="38" t="n"/>
      <c r="P6" s="37" t="n"/>
      <c r="Q6" s="39" t="n"/>
      <c r="R6" s="39" t="n"/>
      <c r="S6" s="37" t="n"/>
      <c r="T6" s="37" t="n"/>
      <c r="U6" s="37" t="n"/>
      <c r="V6" s="38" t="n"/>
      <c r="W6" s="37" t="n"/>
      <c r="X6" s="39" t="n"/>
      <c r="Y6" s="39" t="n"/>
      <c r="Z6" s="37" t="n"/>
      <c r="AA6" s="37" t="n"/>
      <c r="AB6" s="37" t="n"/>
      <c r="AC6" s="38" t="n"/>
      <c r="AD6" s="37" t="n"/>
      <c r="AE6" s="39" t="n"/>
      <c r="AF6" s="39" t="n"/>
      <c r="AG6" s="37" t="n"/>
      <c r="AH6" s="37" t="n"/>
    </row>
    <row r="7">
      <c r="A7" s="3" t="inlineStr"/>
      <c r="B7" s="3" t="inlineStr">
        <is>
          <t>Flexible Supplier X</t>
        </is>
      </c>
      <c r="C7" s="36" t="inlineStr">
        <is>
          <t>PND</t>
        </is>
      </c>
      <c r="D7" s="5" t="n">
        <v>30600</v>
      </c>
      <c r="E7" s="37" t="n"/>
      <c r="F7" s="37" t="n"/>
      <c r="G7" s="37" t="n"/>
      <c r="H7" s="38" t="n"/>
      <c r="I7" s="37" t="n"/>
      <c r="J7" s="39" t="n"/>
      <c r="K7" s="39" t="n"/>
      <c r="L7" s="37" t="n"/>
      <c r="M7" s="37" t="n"/>
      <c r="N7" s="37" t="n"/>
      <c r="O7" s="38" t="n"/>
      <c r="P7" s="37" t="n"/>
      <c r="Q7" s="39" t="n"/>
      <c r="R7" s="39" t="n"/>
      <c r="S7" s="37" t="n"/>
      <c r="T7" s="37" t="n"/>
      <c r="U7" s="37" t="n"/>
      <c r="V7" s="38" t="n"/>
      <c r="W7" s="37" t="n"/>
      <c r="X7" s="39" t="n"/>
      <c r="Y7" s="39" t="n"/>
      <c r="Z7" s="37" t="n"/>
      <c r="AA7" s="37" t="n"/>
      <c r="AB7" s="37" t="n"/>
      <c r="AC7" s="38" t="n"/>
      <c r="AD7" s="37" t="n"/>
      <c r="AE7" s="39" t="n"/>
      <c r="AF7" s="39" t="n"/>
      <c r="AG7" s="37" t="n"/>
      <c r="AH7" s="37" t="n"/>
    </row>
    <row r="8">
      <c r="A8" s="35" t="inlineStr">
        <is>
          <t>HUMAN RESOURCES</t>
        </is>
      </c>
    </row>
    <row r="9">
      <c r="A9" s="3" t="inlineStr"/>
      <c r="B9" s="3" t="inlineStr">
        <is>
          <t>Monthly Payroll</t>
        </is>
      </c>
      <c r="C9" s="36" t="inlineStr">
        <is>
          <t>PND</t>
        </is>
      </c>
      <c r="D9" s="5" t="n">
        <v>2500000</v>
      </c>
      <c r="E9" s="37" t="n"/>
      <c r="F9" s="37" t="n"/>
      <c r="G9" s="37" t="n"/>
      <c r="H9" s="38" t="n"/>
      <c r="I9" s="37" t="n"/>
      <c r="J9" s="39" t="n"/>
      <c r="K9" s="39" t="n"/>
      <c r="L9" s="37" t="n"/>
      <c r="M9" s="37" t="n"/>
      <c r="N9" s="37" t="n"/>
      <c r="O9" s="38" t="n"/>
      <c r="P9" s="37" t="n"/>
      <c r="Q9" s="39" t="n"/>
      <c r="R9" s="39" t="n"/>
      <c r="S9" s="37" t="n"/>
      <c r="T9" s="37" t="n"/>
      <c r="U9" s="37" t="n"/>
      <c r="V9" s="38" t="n"/>
      <c r="W9" s="37" t="n"/>
      <c r="X9" s="39" t="n"/>
      <c r="Y9" s="39" t="n"/>
      <c r="Z9" s="37" t="n"/>
      <c r="AA9" s="37" t="n"/>
      <c r="AB9" s="37" t="n"/>
      <c r="AC9" s="38" t="n"/>
      <c r="AD9" s="37" t="n"/>
      <c r="AE9" s="39" t="n"/>
      <c r="AF9" s="39" t="n"/>
      <c r="AG9" s="37" t="n"/>
      <c r="AH9" s="37" t="n"/>
    </row>
    <row r="10">
      <c r="A10" s="3" t="inlineStr"/>
      <c r="B10" s="3" t="inlineStr">
        <is>
          <t>End of Service</t>
        </is>
      </c>
      <c r="C10" s="36" t="inlineStr">
        <is>
          <t>PND</t>
        </is>
      </c>
      <c r="D10" s="5" t="n">
        <v>0</v>
      </c>
      <c r="E10" s="37" t="n"/>
      <c r="F10" s="37" t="n"/>
      <c r="G10" s="37" t="n"/>
      <c r="H10" s="38" t="n"/>
      <c r="I10" s="37" t="n"/>
      <c r="J10" s="39" t="n"/>
      <c r="K10" s="39" t="n"/>
      <c r="L10" s="37" t="n"/>
      <c r="M10" s="37" t="n"/>
      <c r="N10" s="37" t="n"/>
      <c r="O10" s="38" t="n"/>
      <c r="P10" s="37" t="n"/>
      <c r="Q10" s="39" t="n"/>
      <c r="R10" s="39" t="n"/>
      <c r="S10" s="37" t="n"/>
      <c r="T10" s="37" t="n"/>
      <c r="U10" s="37" t="n"/>
      <c r="V10" s="38" t="n"/>
      <c r="W10" s="37" t="n"/>
      <c r="X10" s="39" t="n"/>
      <c r="Y10" s="39" t="n"/>
      <c r="Z10" s="37" t="n"/>
      <c r="AA10" s="37" t="n"/>
      <c r="AB10" s="37" t="n"/>
      <c r="AC10" s="38" t="n"/>
      <c r="AD10" s="37" t="n"/>
      <c r="AE10" s="39" t="n"/>
      <c r="AF10" s="39" t="n"/>
      <c r="AG10" s="37" t="n"/>
      <c r="AH10" s="37" t="n"/>
    </row>
    <row r="11">
      <c r="A11" s="3" t="inlineStr"/>
      <c r="B11" s="3" t="inlineStr">
        <is>
          <t>Benefits &amp; Allowances</t>
        </is>
      </c>
      <c r="C11" s="36" t="inlineStr">
        <is>
          <t>PND</t>
        </is>
      </c>
      <c r="D11" s="5" t="n">
        <v>0</v>
      </c>
      <c r="E11" s="37" t="n"/>
      <c r="F11" s="37" t="n"/>
      <c r="G11" s="37" t="n"/>
      <c r="H11" s="38" t="n"/>
      <c r="I11" s="37" t="n"/>
      <c r="J11" s="39" t="n"/>
      <c r="K11" s="39" t="n"/>
      <c r="L11" s="37" t="n"/>
      <c r="M11" s="37" t="n"/>
      <c r="N11" s="37" t="n"/>
      <c r="O11" s="38" t="n"/>
      <c r="P11" s="37" t="n"/>
      <c r="Q11" s="39" t="n"/>
      <c r="R11" s="39" t="n"/>
      <c r="S11" s="37" t="n"/>
      <c r="T11" s="37" t="n"/>
      <c r="U11" s="37" t="n"/>
      <c r="V11" s="38" t="n"/>
      <c r="W11" s="37" t="n"/>
      <c r="X11" s="39" t="n"/>
      <c r="Y11" s="39" t="n"/>
      <c r="Z11" s="37" t="n"/>
      <c r="AA11" s="37" t="n"/>
      <c r="AB11" s="37" t="n"/>
      <c r="AC11" s="38" t="n"/>
      <c r="AD11" s="37" t="n"/>
      <c r="AE11" s="39" t="n"/>
      <c r="AF11" s="39" t="n"/>
      <c r="AG11" s="37" t="n"/>
      <c r="AH11" s="37" t="n"/>
    </row>
    <row r="12">
      <c r="A12" s="35" t="inlineStr">
        <is>
          <t>GOVERNMENT OBLIGATIONS</t>
        </is>
      </c>
    </row>
    <row r="13">
      <c r="A13" s="3" t="inlineStr"/>
      <c r="B13" s="3" t="inlineStr">
        <is>
          <t>VAT Payment</t>
        </is>
      </c>
      <c r="C13" s="36" t="inlineStr">
        <is>
          <t>PND</t>
        </is>
      </c>
      <c r="D13" s="5" t="n">
        <v>0</v>
      </c>
      <c r="E13" s="37" t="n"/>
      <c r="F13" s="37" t="n"/>
      <c r="G13" s="37" t="n"/>
      <c r="H13" s="38" t="n"/>
      <c r="I13" s="37" t="n"/>
      <c r="J13" s="39" t="n"/>
      <c r="K13" s="39" t="n"/>
      <c r="L13" s="37" t="n"/>
      <c r="M13" s="37" t="n"/>
      <c r="N13" s="37" t="n"/>
      <c r="O13" s="38" t="n"/>
      <c r="P13" s="37" t="n"/>
      <c r="Q13" s="39" t="n"/>
      <c r="R13" s="39" t="n"/>
      <c r="S13" s="37" t="n"/>
      <c r="T13" s="37" t="n"/>
      <c r="U13" s="37" t="n"/>
      <c r="V13" s="38" t="n"/>
      <c r="W13" s="37" t="n"/>
      <c r="X13" s="39" t="n"/>
      <c r="Y13" s="39" t="n"/>
      <c r="Z13" s="37" t="n"/>
      <c r="AA13" s="37" t="n"/>
      <c r="AB13" s="37" t="n"/>
      <c r="AC13" s="38" t="n"/>
      <c r="AD13" s="37" t="n"/>
      <c r="AE13" s="39" t="n"/>
      <c r="AF13" s="39" t="n"/>
      <c r="AG13" s="37" t="n"/>
      <c r="AH13" s="37" t="n"/>
    </row>
    <row r="14">
      <c r="A14" s="3" t="inlineStr"/>
      <c r="B14" s="3" t="inlineStr">
        <is>
          <t>GOSI Payment</t>
        </is>
      </c>
      <c r="C14" s="36" t="inlineStr">
        <is>
          <t>URG</t>
        </is>
      </c>
      <c r="D14" s="5" t="n">
        <v>125000</v>
      </c>
      <c r="E14" s="37" t="n"/>
      <c r="F14" s="37" t="n"/>
      <c r="G14" s="37" t="n"/>
      <c r="H14" s="38" t="n"/>
      <c r="I14" s="37" t="n"/>
      <c r="J14" s="39" t="n"/>
      <c r="K14" s="39" t="n"/>
      <c r="L14" s="37" t="n"/>
      <c r="M14" s="37" t="n"/>
      <c r="N14" s="37" t="n"/>
      <c r="O14" s="38" t="n"/>
      <c r="P14" s="37" t="n"/>
      <c r="Q14" s="39" t="n"/>
      <c r="R14" s="39" t="n"/>
      <c r="S14" s="37" t="n"/>
      <c r="T14" s="37" t="n"/>
      <c r="U14" s="37" t="n"/>
      <c r="V14" s="38" t="n"/>
      <c r="W14" s="37" t="n"/>
      <c r="X14" s="39" t="n"/>
      <c r="Y14" s="39" t="n"/>
      <c r="Z14" s="37" t="n"/>
      <c r="AA14" s="37" t="n"/>
      <c r="AB14" s="37" t="n"/>
      <c r="AC14" s="38" t="n"/>
      <c r="AD14" s="37" t="n"/>
      <c r="AE14" s="39" t="n"/>
      <c r="AF14" s="39" t="n"/>
      <c r="AG14" s="37" t="n"/>
      <c r="AH14" s="37" t="n"/>
    </row>
    <row r="15">
      <c r="A15" s="3" t="inlineStr"/>
      <c r="B15" s="3" t="inlineStr">
        <is>
          <t>Zakat</t>
        </is>
      </c>
      <c r="C15" s="36" t="inlineStr">
        <is>
          <t>PND</t>
        </is>
      </c>
      <c r="D15" s="5" t="n">
        <v>0</v>
      </c>
      <c r="E15" s="37" t="n"/>
      <c r="F15" s="37" t="n"/>
      <c r="G15" s="37" t="n"/>
      <c r="H15" s="38" t="n"/>
      <c r="I15" s="37" t="n"/>
      <c r="J15" s="39" t="n"/>
      <c r="K15" s="39" t="n"/>
      <c r="L15" s="37" t="n"/>
      <c r="M15" s="37" t="n"/>
      <c r="N15" s="37" t="n"/>
      <c r="O15" s="38" t="n"/>
      <c r="P15" s="37" t="n"/>
      <c r="Q15" s="39" t="n"/>
      <c r="R15" s="39" t="n"/>
      <c r="S15" s="37" t="n"/>
      <c r="T15" s="37" t="n"/>
      <c r="U15" s="37" t="n"/>
      <c r="V15" s="38" t="n"/>
      <c r="W15" s="37" t="n"/>
      <c r="X15" s="39" t="n"/>
      <c r="Y15" s="39" t="n"/>
      <c r="Z15" s="37" t="n"/>
      <c r="AA15" s="37" t="n"/>
      <c r="AB15" s="37" t="n"/>
      <c r="AC15" s="38" t="n"/>
      <c r="AD15" s="37" t="n"/>
      <c r="AE15" s="39" t="n"/>
      <c r="AF15" s="39" t="n"/>
      <c r="AG15" s="37" t="n"/>
      <c r="AH15" s="37" t="n"/>
    </row>
    <row r="16">
      <c r="A16" s="35" t="inlineStr">
        <is>
          <t>STRATEGIC PAYMENTS</t>
        </is>
      </c>
    </row>
    <row r="17">
      <c r="A17" s="3" t="inlineStr"/>
      <c r="B17" s="3" t="inlineStr">
        <is>
          <t>Partner X</t>
        </is>
      </c>
      <c r="C17" s="36" t="inlineStr">
        <is>
          <t>PND</t>
        </is>
      </c>
      <c r="D17" s="5" t="n">
        <v>0</v>
      </c>
      <c r="E17" s="37" t="n"/>
      <c r="F17" s="37" t="n"/>
      <c r="G17" s="37" t="n"/>
      <c r="H17" s="38" t="n"/>
      <c r="I17" s="37" t="n"/>
      <c r="J17" s="39" t="n"/>
      <c r="K17" s="39" t="n"/>
      <c r="L17" s="37" t="n"/>
      <c r="M17" s="37" t="n"/>
      <c r="N17" s="37" t="n"/>
      <c r="O17" s="38" t="n"/>
      <c r="P17" s="37" t="n"/>
      <c r="Q17" s="39" t="n"/>
      <c r="R17" s="39" t="n"/>
      <c r="S17" s="37" t="n"/>
      <c r="T17" s="37" t="n"/>
      <c r="U17" s="37" t="n"/>
      <c r="V17" s="38" t="n"/>
      <c r="W17" s="37" t="n"/>
      <c r="X17" s="39" t="n"/>
      <c r="Y17" s="39" t="n"/>
      <c r="Z17" s="37" t="n"/>
      <c r="AA17" s="37" t="n"/>
      <c r="AB17" s="37" t="n"/>
      <c r="AC17" s="38" t="n"/>
      <c r="AD17" s="37" t="n"/>
      <c r="AE17" s="39" t="n"/>
      <c r="AF17" s="39" t="n"/>
      <c r="AG17" s="37" t="n"/>
      <c r="AH17" s="37" t="n"/>
    </row>
    <row r="18">
      <c r="A18" s="3" t="inlineStr"/>
      <c r="B18" s="3" t="inlineStr">
        <is>
          <t>Partner Y</t>
        </is>
      </c>
      <c r="C18" s="36" t="inlineStr">
        <is>
          <t>PND</t>
        </is>
      </c>
      <c r="D18" s="5" t="n">
        <v>0</v>
      </c>
      <c r="E18" s="37" t="n"/>
      <c r="F18" s="37" t="n"/>
      <c r="G18" s="37" t="n"/>
      <c r="H18" s="38" t="n"/>
      <c r="I18" s="37" t="n"/>
      <c r="J18" s="39" t="n"/>
      <c r="K18" s="39" t="n"/>
      <c r="L18" s="37" t="n"/>
      <c r="M18" s="37" t="n"/>
      <c r="N18" s="37" t="n"/>
      <c r="O18" s="38" t="n"/>
      <c r="P18" s="37" t="n"/>
      <c r="Q18" s="39" t="n"/>
      <c r="R18" s="39" t="n"/>
      <c r="S18" s="37" t="n"/>
      <c r="T18" s="37" t="n"/>
      <c r="U18" s="37" t="n"/>
      <c r="V18" s="38" t="n"/>
      <c r="W18" s="37" t="n"/>
      <c r="X18" s="39" t="n"/>
      <c r="Y18" s="39" t="n"/>
      <c r="Z18" s="37" t="n"/>
      <c r="AA18" s="37" t="n"/>
      <c r="AB18" s="37" t="n"/>
      <c r="AC18" s="38" t="n"/>
      <c r="AD18" s="37" t="n"/>
      <c r="AE18" s="39" t="n"/>
      <c r="AF18" s="39" t="n"/>
      <c r="AG18" s="37" t="n"/>
      <c r="AH18" s="37" t="n"/>
    </row>
    <row r="19">
      <c r="A19" s="35" t="inlineStr">
        <is>
          <t>LOAN SERVICING</t>
        </is>
      </c>
    </row>
    <row r="20">
      <c r="A20" s="3" t="inlineStr"/>
      <c r="B20" s="3" t="inlineStr">
        <is>
          <t>Bank Loan Principal</t>
        </is>
      </c>
      <c r="C20" s="36" t="inlineStr">
        <is>
          <t>PND</t>
        </is>
      </c>
      <c r="D20" s="5" t="n">
        <v>500000</v>
      </c>
      <c r="E20" s="37" t="n"/>
      <c r="F20" s="37" t="n"/>
      <c r="G20" s="37" t="n"/>
      <c r="H20" s="38" t="n"/>
      <c r="I20" s="37" t="n"/>
      <c r="J20" s="39" t="n"/>
      <c r="K20" s="39" t="n"/>
      <c r="L20" s="37" t="n"/>
      <c r="M20" s="37" t="n"/>
      <c r="N20" s="37" t="n"/>
      <c r="O20" s="38" t="n"/>
      <c r="P20" s="37" t="n"/>
      <c r="Q20" s="39" t="n"/>
      <c r="R20" s="39" t="n"/>
      <c r="S20" s="37" t="n"/>
      <c r="T20" s="37" t="n"/>
      <c r="U20" s="37" t="n"/>
      <c r="V20" s="38" t="n"/>
      <c r="W20" s="37" t="n"/>
      <c r="X20" s="39" t="n"/>
      <c r="Y20" s="39" t="n"/>
      <c r="Z20" s="37" t="n"/>
      <c r="AA20" s="37" t="n"/>
      <c r="AB20" s="37" t="n"/>
      <c r="AC20" s="38" t="n"/>
      <c r="AD20" s="37" t="n"/>
      <c r="AE20" s="39" t="n"/>
      <c r="AF20" s="39" t="n"/>
      <c r="AG20" s="37" t="n"/>
      <c r="AH20" s="37" t="n"/>
    </row>
    <row r="21">
      <c r="A21" s="3" t="inlineStr"/>
      <c r="B21" s="3" t="inlineStr">
        <is>
          <t>Bank Loan Interest</t>
        </is>
      </c>
      <c r="C21" s="36" t="inlineStr">
        <is>
          <t>PND</t>
        </is>
      </c>
      <c r="D21" s="5" t="n">
        <v>0</v>
      </c>
      <c r="E21" s="37" t="n"/>
      <c r="F21" s="37" t="n"/>
      <c r="G21" s="37" t="n"/>
      <c r="H21" s="38" t="n"/>
      <c r="I21" s="37" t="n"/>
      <c r="J21" s="39" t="n"/>
      <c r="K21" s="39" t="n"/>
      <c r="L21" s="37" t="n"/>
      <c r="M21" s="37" t="n"/>
      <c r="N21" s="37" t="n"/>
      <c r="O21" s="38" t="n"/>
      <c r="P21" s="37" t="n"/>
      <c r="Q21" s="39" t="n"/>
      <c r="R21" s="39" t="n"/>
      <c r="S21" s="37" t="n"/>
      <c r="T21" s="37" t="n"/>
      <c r="U21" s="37" t="n"/>
      <c r="V21" s="38" t="n"/>
      <c r="W21" s="37" t="n"/>
      <c r="X21" s="39" t="n"/>
      <c r="Y21" s="39" t="n"/>
      <c r="Z21" s="37" t="n"/>
      <c r="AA21" s="37" t="n"/>
      <c r="AB21" s="37" t="n"/>
      <c r="AC21" s="38" t="n"/>
      <c r="AD21" s="37" t="n"/>
      <c r="AE21" s="39" t="n"/>
      <c r="AF21" s="39" t="n"/>
      <c r="AG21" s="37" t="n"/>
      <c r="AH21" s="37" t="n"/>
    </row>
    <row r="23">
      <c r="A23" s="40" t="inlineStr">
        <is>
          <t>TOTAL PAYMENTS</t>
        </is>
      </c>
      <c r="D23" s="41">
        <f>SUM(D5:D22)</f>
        <v/>
      </c>
      <c r="E23" s="41">
        <f>SUM(E5:E22)</f>
        <v/>
      </c>
      <c r="F23" s="41">
        <f>SUM(F5:F22)</f>
        <v/>
      </c>
      <c r="G23" s="41">
        <f>SUM(G5:G22)</f>
        <v/>
      </c>
      <c r="H23" s="42">
        <f>SUM(H5:H22)</f>
        <v/>
      </c>
      <c r="I23" s="41">
        <f>SUM(I5:I22)</f>
        <v/>
      </c>
      <c r="J23" s="41">
        <f>SUM(J5:J22)</f>
        <v/>
      </c>
      <c r="K23" s="41">
        <f>SUM(K5:K22)</f>
        <v/>
      </c>
      <c r="L23" s="41">
        <f>SUM(L5:L22)</f>
        <v/>
      </c>
      <c r="M23" s="41">
        <f>SUM(M5:M22)</f>
        <v/>
      </c>
      <c r="N23" s="41">
        <f>SUM(N5:N22)</f>
        <v/>
      </c>
      <c r="O23" s="42">
        <f>SUM(O5:O22)</f>
        <v/>
      </c>
      <c r="P23" s="41">
        <f>SUM(P5:P22)</f>
        <v/>
      </c>
      <c r="Q23" s="41">
        <f>SUM(Q5:Q22)</f>
        <v/>
      </c>
      <c r="R23" s="41">
        <f>SUM(R5:R22)</f>
        <v/>
      </c>
      <c r="S23" s="41">
        <f>SUM(S5:S22)</f>
        <v/>
      </c>
      <c r="T23" s="41">
        <f>SUM(T5:T22)</f>
        <v/>
      </c>
      <c r="U23" s="41">
        <f>SUM(U5:U22)</f>
        <v/>
      </c>
      <c r="V23" s="42">
        <f>SUM(V5:V22)</f>
        <v/>
      </c>
      <c r="W23" s="41">
        <f>SUM(W5:W22)</f>
        <v/>
      </c>
      <c r="X23" s="41">
        <f>SUM(X5:X22)</f>
        <v/>
      </c>
      <c r="Y23" s="41">
        <f>SUM(Y5:Y22)</f>
        <v/>
      </c>
      <c r="Z23" s="41">
        <f>SUM(Z5:Z22)</f>
        <v/>
      </c>
      <c r="AA23" s="41">
        <f>SUM(AA5:AA22)</f>
        <v/>
      </c>
      <c r="AB23" s="41">
        <f>SUM(AB5:AB22)</f>
        <v/>
      </c>
      <c r="AC23" s="42">
        <f>SUM(AC5:AC22)</f>
        <v/>
      </c>
      <c r="AD23" s="41">
        <f>SUM(AD5:AD22)</f>
        <v/>
      </c>
      <c r="AE23" s="41">
        <f>SUM(AE5:AE22)</f>
        <v/>
      </c>
      <c r="AF23" s="41">
        <f>SUM(AF5:AF22)</f>
        <v/>
      </c>
      <c r="AG23" s="41">
        <f>SUM(AG5:AG22)</f>
        <v/>
      </c>
      <c r="AH23" s="41">
        <f>SUM(AH5:AH22)</f>
        <v/>
      </c>
    </row>
  </sheetData>
  <mergeCells count="7">
    <mergeCell ref="A8:D8"/>
    <mergeCell ref="A23:C23"/>
    <mergeCell ref="A12:D12"/>
    <mergeCell ref="A4:D4"/>
    <mergeCell ref="A1:AE1"/>
    <mergeCell ref="A16:D16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TREASURY CALENDAR - CASH POSITION VIEW</t>
        </is>
      </c>
    </row>
    <row r="3">
      <c r="A3" s="2" t="inlineStr">
        <is>
          <t>Metric</t>
        </is>
      </c>
      <c r="B3" s="43" t="inlineStr">
        <is>
          <t>10-Dec</t>
        </is>
      </c>
      <c r="C3" s="43" t="inlineStr">
        <is>
          <t>17-Dec</t>
        </is>
      </c>
      <c r="D3" s="43" t="inlineStr">
        <is>
          <t>24-Dec</t>
        </is>
      </c>
      <c r="E3" s="43" t="inlineStr">
        <is>
          <t>31-Dec</t>
        </is>
      </c>
      <c r="F3" s="43" t="inlineStr">
        <is>
          <t>07-Jan</t>
        </is>
      </c>
      <c r="G3" s="43" t="inlineStr">
        <is>
          <t>14-Jan</t>
        </is>
      </c>
      <c r="H3" s="43" t="inlineStr">
        <is>
          <t>21-Jan</t>
        </is>
      </c>
      <c r="I3" s="43" t="inlineStr">
        <is>
          <t>28-Jan</t>
        </is>
      </c>
    </row>
    <row r="4">
      <c r="A4" s="44" t="inlineStr">
        <is>
          <t>DEMAND STREAM (OUTFLOWS)</t>
        </is>
      </c>
    </row>
    <row r="5">
      <c r="A5" s="3" t="inlineStr">
        <is>
          <t>Confirmed AP (Tier 1-2)</t>
        </is>
      </c>
      <c r="B5" s="5" t="n">
        <v>875000</v>
      </c>
      <c r="C5" s="5" t="n">
        <v>650000</v>
      </c>
      <c r="D5" s="5" t="n">
        <v>420000</v>
      </c>
      <c r="E5" s="5" t="n">
        <v>380000</v>
      </c>
      <c r="F5" s="5" t="n">
        <v>290000</v>
      </c>
      <c r="G5" s="5" t="n">
        <v>350000</v>
      </c>
      <c r="H5" s="5" t="n">
        <v>400000</v>
      </c>
      <c r="I5" s="5" t="n">
        <v>320000</v>
      </c>
    </row>
    <row r="6">
      <c r="A6" s="3" t="inlineStr">
        <is>
          <t>Estimated AP (Recurring)</t>
        </is>
      </c>
      <c r="B6" s="5" t="n">
        <v>150000</v>
      </c>
      <c r="C6" s="5" t="n">
        <v>150000</v>
      </c>
      <c r="D6" s="5" t="n">
        <v>150000</v>
      </c>
      <c r="E6" s="5" t="n">
        <v>150000</v>
      </c>
      <c r="F6" s="5" t="n">
        <v>150000</v>
      </c>
      <c r="G6" s="5" t="n">
        <v>150000</v>
      </c>
      <c r="H6" s="5" t="n">
        <v>150000</v>
      </c>
      <c r="I6" s="5" t="n">
        <v>150000</v>
      </c>
    </row>
    <row r="7">
      <c r="A7" s="3" t="inlineStr">
        <is>
          <t>Payroll</t>
        </is>
      </c>
      <c r="B7" s="5" t="n">
        <v>0</v>
      </c>
      <c r="C7" s="5" t="n">
        <v>0</v>
      </c>
      <c r="D7" s="5" t="n">
        <v>0</v>
      </c>
      <c r="E7" s="5" t="n">
        <v>2500000</v>
      </c>
      <c r="F7" s="5" t="n">
        <v>0</v>
      </c>
      <c r="G7" s="5" t="n">
        <v>0</v>
      </c>
      <c r="H7" s="5" t="n">
        <v>0</v>
      </c>
      <c r="I7" s="5" t="n">
        <v>0</v>
      </c>
    </row>
    <row r="8">
      <c r="A8" s="3" t="inlineStr">
        <is>
          <t>Government Obligations</t>
        </is>
      </c>
      <c r="B8" s="5" t="n">
        <v>125000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Loan Servicing</t>
        </is>
      </c>
      <c r="B9" s="5" t="n">
        <v>0</v>
      </c>
      <c r="C9" s="5" t="n">
        <v>0</v>
      </c>
      <c r="D9" s="5" t="n">
        <v>0</v>
      </c>
      <c r="E9" s="5" t="n">
        <v>500000</v>
      </c>
      <c r="F9" s="5" t="n">
        <v>0</v>
      </c>
      <c r="G9" s="5" t="n">
        <v>0</v>
      </c>
      <c r="H9" s="5" t="n">
        <v>0</v>
      </c>
      <c r="I9" s="5" t="n">
        <v>0</v>
      </c>
    </row>
    <row r="10">
      <c r="A10" s="3" t="inlineStr">
        <is>
          <t>Volatile Buffer</t>
        </is>
      </c>
      <c r="B10" s="45">
        <f>SUM(B5:B9)*0.02</f>
        <v/>
      </c>
      <c r="C10" s="45">
        <f>SUM(C5:C9)*0.02</f>
        <v/>
      </c>
      <c r="D10" s="45">
        <f>SUM(D5:D9)*0.1</f>
        <v/>
      </c>
      <c r="E10" s="45">
        <f>SUM(E5:E9)*0.1</f>
        <v/>
      </c>
      <c r="F10" s="45">
        <f>SUM(F5:F9)*0.1</f>
        <v/>
      </c>
      <c r="G10" s="45">
        <f>SUM(G5:G9)*0.1</f>
        <v/>
      </c>
      <c r="H10" s="45">
        <f>SUM(H5:H9)*0.1</f>
        <v/>
      </c>
      <c r="I10" s="45">
        <f>SUM(I5:I9)*0.1</f>
        <v/>
      </c>
    </row>
    <row r="11">
      <c r="A11" s="46" t="inlineStr">
        <is>
          <t>TOTAL CASH REQUIRED</t>
        </is>
      </c>
      <c r="B11" s="47">
        <f>SUM(B5:B10)</f>
        <v/>
      </c>
      <c r="C11" s="47">
        <f>SUM(C5:C10)</f>
        <v/>
      </c>
      <c r="D11" s="47">
        <f>SUM(D5:D10)</f>
        <v/>
      </c>
      <c r="E11" s="47">
        <f>SUM(E5:E10)</f>
        <v/>
      </c>
      <c r="F11" s="47">
        <f>SUM(F5:F10)</f>
        <v/>
      </c>
      <c r="G11" s="47">
        <f>SUM(G5:G10)</f>
        <v/>
      </c>
      <c r="H11" s="47">
        <f>SUM(H5:H10)</f>
        <v/>
      </c>
      <c r="I11" s="47">
        <f>SUM(I5:I10)</f>
        <v/>
      </c>
    </row>
    <row r="13">
      <c r="A13" s="48" t="inlineStr">
        <is>
          <t>SUPPLY STREAM (INFLOWS)</t>
        </is>
      </c>
    </row>
    <row r="14">
      <c r="A14" s="3" t="inlineStr">
        <is>
          <t>Maturing TD Principal</t>
        </is>
      </c>
      <c r="B14" s="5" t="n">
        <v>5000000</v>
      </c>
      <c r="C14" s="5" t="n">
        <v>3000000</v>
      </c>
      <c r="D14" s="5" t="n">
        <v>0</v>
      </c>
      <c r="E14" s="5" t="n">
        <v>0</v>
      </c>
      <c r="F14" s="5" t="n">
        <v>2000000</v>
      </c>
      <c r="G14" s="5" t="n">
        <v>4000000</v>
      </c>
      <c r="H14" s="5" t="n">
        <v>0</v>
      </c>
      <c r="I14" s="5" t="n">
        <v>0</v>
      </c>
    </row>
    <row r="15">
      <c r="A15" s="3" t="inlineStr">
        <is>
          <t>Maturing TD Interest</t>
        </is>
      </c>
      <c r="B15" s="5" t="n">
        <v>45000</v>
      </c>
      <c r="C15" s="5" t="n">
        <v>27000</v>
      </c>
      <c r="D15" s="5" t="n">
        <v>0</v>
      </c>
      <c r="E15" s="5" t="n">
        <v>0</v>
      </c>
      <c r="F15" s="5" t="n">
        <v>15000</v>
      </c>
      <c r="G15" s="5" t="n">
        <v>35000</v>
      </c>
      <c r="H15" s="5" t="n">
        <v>0</v>
      </c>
      <c r="I15" s="5" t="n">
        <v>0</v>
      </c>
    </row>
    <row r="16">
      <c r="A16" s="3" t="inlineStr">
        <is>
          <t>Operating Cash</t>
        </is>
      </c>
      <c r="B16" s="5" t="n">
        <v>500000</v>
      </c>
      <c r="C16" s="5" t="n">
        <v>500000</v>
      </c>
      <c r="D16" s="5" t="n">
        <v>500000</v>
      </c>
      <c r="E16" s="5" t="n">
        <v>500000</v>
      </c>
      <c r="F16" s="5" t="n">
        <v>500000</v>
      </c>
      <c r="G16" s="5" t="n">
        <v>500000</v>
      </c>
      <c r="H16" s="5" t="n">
        <v>500000</v>
      </c>
      <c r="I16" s="5" t="n">
        <v>500000</v>
      </c>
    </row>
    <row r="17">
      <c r="A17" s="3" t="inlineStr">
        <is>
          <t>AR Collections</t>
        </is>
      </c>
      <c r="B17" s="5" t="n">
        <v>350000</v>
      </c>
      <c r="C17" s="5" t="n">
        <v>400000</v>
      </c>
      <c r="D17" s="5" t="n">
        <v>380000</v>
      </c>
      <c r="E17" s="5" t="n">
        <v>420000</v>
      </c>
      <c r="F17" s="5" t="n">
        <v>390000</v>
      </c>
      <c r="G17" s="5" t="n">
        <v>410000</v>
      </c>
      <c r="H17" s="5" t="n">
        <v>400000</v>
      </c>
      <c r="I17" s="5" t="n">
        <v>380000</v>
      </c>
    </row>
    <row r="18">
      <c r="A18" s="49" t="inlineStr">
        <is>
          <t>TOTAL CASH AVAILABLE</t>
        </is>
      </c>
      <c r="B18" s="50">
        <f>SUM(B14:B17)</f>
        <v/>
      </c>
      <c r="C18" s="50">
        <f>SUM(C14:C17)</f>
        <v/>
      </c>
      <c r="D18" s="50">
        <f>SUM(D14:D17)</f>
        <v/>
      </c>
      <c r="E18" s="50">
        <f>SUM(E14:E17)</f>
        <v/>
      </c>
      <c r="F18" s="50">
        <f>SUM(F14:F17)</f>
        <v/>
      </c>
      <c r="G18" s="50">
        <f>SUM(G14:G17)</f>
        <v/>
      </c>
      <c r="H18" s="50">
        <f>SUM(H14:H17)</f>
        <v/>
      </c>
      <c r="I18" s="50">
        <f>SUM(I14:I17)</f>
        <v/>
      </c>
    </row>
    <row r="20">
      <c r="A20" s="51" t="inlineStr">
        <is>
          <t>DELTA ENGINE</t>
        </is>
      </c>
    </row>
    <row r="21">
      <c r="A21" s="52" t="inlineStr">
        <is>
          <t>NET POSITION (Delta)</t>
        </is>
      </c>
      <c r="B21" s="41">
        <f>B18-B11</f>
        <v/>
      </c>
      <c r="C21" s="41">
        <f>C18-C11</f>
        <v/>
      </c>
      <c r="D21" s="41">
        <f>D18-D11</f>
        <v/>
      </c>
      <c r="E21" s="41">
        <f>E18-E11</f>
        <v/>
      </c>
      <c r="F21" s="41">
        <f>F18-F11</f>
        <v/>
      </c>
      <c r="G21" s="41">
        <f>G18-G11</f>
        <v/>
      </c>
      <c r="H21" s="41">
        <f>H18-H11</f>
        <v/>
      </c>
      <c r="I21" s="41">
        <f>I18-I11</f>
        <v/>
      </c>
    </row>
    <row r="22">
      <c r="A22" s="52" t="inlineStr">
        <is>
          <t>ACTION FLAG</t>
        </is>
      </c>
      <c r="B22" s="53">
        <f>IF(B21&gt;1000000,"SURPLUS - Roll to TD",IF(B21&lt;-500000,"GAP - Book TD or Draw OD","BALANCED"))</f>
        <v/>
      </c>
      <c r="C22" s="53">
        <f>IF(C21&gt;1000000,"SURPLUS - Roll to TD",IF(C21&lt;-500000,"GAP - Book TD or Draw OD","BALANCED"))</f>
        <v/>
      </c>
      <c r="D22" s="53">
        <f>IF(D21&gt;1000000,"SURPLUS - Roll to TD",IF(D21&lt;-500000,"GAP - Book TD or Draw OD","BALANCED"))</f>
        <v/>
      </c>
      <c r="E22" s="53">
        <f>IF(E21&gt;1000000,"SURPLUS - Roll to TD",IF(E21&lt;-500000,"GAP - Book TD or Draw OD","BALANCED"))</f>
        <v/>
      </c>
      <c r="F22" s="53">
        <f>IF(F21&gt;1000000,"SURPLUS - Roll to TD",IF(F21&lt;-500000,"GAP - Book TD or Draw OD","BALANCED"))</f>
        <v/>
      </c>
      <c r="G22" s="53">
        <f>IF(G21&gt;1000000,"SURPLUS - Roll to TD",IF(G21&lt;-500000,"GAP - Book TD or Draw OD","BALANCED"))</f>
        <v/>
      </c>
      <c r="H22" s="53">
        <f>IF(H21&gt;1000000,"SURPLUS - Roll to TD",IF(H21&lt;-500000,"GAP - Book TD or Draw OD","BALANCED"))</f>
        <v/>
      </c>
      <c r="I22" s="53">
        <f>IF(I21&gt;1000000,"SURPLUS - Roll to TD",IF(I21&lt;-500000,"GAP - Book TD or Draw OD","BALANCED"))</f>
        <v/>
      </c>
    </row>
  </sheetData>
  <mergeCells count="4">
    <mergeCell ref="A1:I1"/>
    <mergeCell ref="A20:I20"/>
    <mergeCell ref="A4:I4"/>
    <mergeCell ref="A13:I13"/>
  </mergeCells>
  <conditionalFormatting sqref="B21:I21">
    <cfRule type="cellIs" priority="1" operator="greaterThan" dxfId="8">
      <formula>1000000</formula>
    </cfRule>
    <cfRule type="cellIs" priority="2" operator="lessThan" dxfId="9">
      <formula>-500000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35" customWidth="1" min="4" max="4"/>
    <col width="3" customWidth="1" min="5" max="5"/>
    <col width="25" customWidth="1" min="6" max="6"/>
    <col width="15" customWidth="1" min="7" max="7"/>
    <col width="18" customWidth="1" min="8" max="8"/>
  </cols>
  <sheetData>
    <row r="1">
      <c r="A1" s="54" t="inlineStr">
        <is>
          <t>EXECUTIVE TREASURY DASHBOARD</t>
        </is>
      </c>
    </row>
    <row r="2">
      <c r="A2" s="55" t="inlineStr">
        <is>
          <t>As of: 2025-12-10 20:57</t>
        </is>
      </c>
    </row>
    <row r="4">
      <c r="A4" s="6" t="inlineStr">
        <is>
          <t>KEY METRICS</t>
        </is>
      </c>
      <c r="F4" s="6" t="inlineStr">
        <is>
          <t>TODAY'S ACTION LIST</t>
        </is>
      </c>
    </row>
    <row r="5">
      <c r="A5" s="3" t="inlineStr">
        <is>
          <t>Total Payments Due This Week</t>
        </is>
      </c>
      <c r="B5" s="56">
        <f>SUMIFS(Data_Hub!$M$4:$M$100,Data_Hub!$H$4:$H$100,"&gt;="&amp;TODAY(),Data_Hub!$H$4:$H$100,"&lt;"&amp;TODAY()+7,Data_Hub!$N$4:$N$100,"&lt;&gt;"&amp;"PAID")</f>
        <v/>
      </c>
      <c r="C5" s="3" t="inlineStr">
        <is>
          <t>SAR</t>
        </is>
      </c>
      <c r="F5" s="2" t="inlineStr">
        <is>
          <t>Item</t>
        </is>
      </c>
      <c r="G5" s="2" t="inlineStr">
        <is>
          <t>Type</t>
        </is>
      </c>
      <c r="H5" s="2" t="inlineStr">
        <is>
          <t>Amount (SAR)</t>
        </is>
      </c>
    </row>
    <row r="6">
      <c r="A6" s="3" t="inlineStr">
        <is>
          <t>Total TDs Maturing Today</t>
        </is>
      </c>
      <c r="B6" s="56">
        <f>SUMIFS(Time_Deposits!$N$4:$N$100,Time_Deposits!$F$4:$F$100,TODAY())</f>
        <v/>
      </c>
      <c r="C6" s="3" t="inlineStr">
        <is>
          <t>SAR</t>
        </is>
      </c>
      <c r="F6" s="3" t="inlineStr">
        <is>
          <t>Payments due today</t>
        </is>
      </c>
      <c r="G6" s="3" t="inlineStr">
        <is>
          <t>AP</t>
        </is>
      </c>
      <c r="H6" s="5">
        <f>SUMIFS(Data_Hub!$M$4:$M$100,Data_Hub!$H$4:$H$100,TODAY())</f>
        <v/>
      </c>
    </row>
    <row r="7">
      <c r="A7" s="3" t="inlineStr">
        <is>
          <t>Net Cash Position (This Week)</t>
        </is>
      </c>
      <c r="B7" s="56">
        <f>Treasury_Calendar!B18-Treasury_Calendar!B11</f>
        <v/>
      </c>
      <c r="C7" s="3" t="inlineStr">
        <is>
          <t>SAR</t>
        </is>
      </c>
      <c r="F7" s="3" t="inlineStr">
        <is>
          <t>TDs maturing today</t>
        </is>
      </c>
      <c r="G7" s="3" t="inlineStr">
        <is>
          <t>TD</t>
        </is>
      </c>
      <c r="H7" s="5">
        <f>SUMIFS(Time_Deposits!$K$4:$K$100,Time_Deposits!$F$4:$F$100,TODAY())</f>
        <v/>
      </c>
    </row>
    <row r="8">
      <c r="A8" s="3" t="inlineStr">
        <is>
          <t>Overdue Payments Count</t>
        </is>
      </c>
      <c r="B8" s="3">
        <f>COUNTIFS(Data_Hub!$N$4:$N$100,"PST*")</f>
        <v/>
      </c>
      <c r="C8" s="3" t="inlineStr">
        <is>
          <t>Count</t>
        </is>
      </c>
      <c r="F8" s="3" t="inlineStr">
        <is>
          <t>Escalated items (PST2)</t>
        </is>
      </c>
      <c r="G8" s="3" t="inlineStr">
        <is>
          <t>Escalation</t>
        </is>
      </c>
      <c r="H8" s="5">
        <f>SUMIFS(Data_Hub!$M$4:$M$100,Data_Hub!$N$4:$N$100,"PST2")</f>
        <v/>
      </c>
    </row>
    <row r="9">
      <c r="A9" s="3" t="inlineStr">
        <is>
          <t>Urgent Items</t>
        </is>
      </c>
      <c r="B9" s="3">
        <f>COUNTIFS(Data_Hub!$N$4:$N$100,"URG")</f>
        <v/>
      </c>
      <c r="C9" s="3" t="inlineStr">
        <is>
          <t>Count</t>
        </is>
      </c>
    </row>
    <row r="10">
      <c r="A10" s="3" t="inlineStr">
        <is>
          <t>Active Time Deposits</t>
        </is>
      </c>
      <c r="B10" s="3">
        <f>COUNTIFS(Time_Deposits!$L$4:$L$100,"ACTIVE")</f>
        <v/>
      </c>
      <c r="C10" s="3" t="inlineStr">
        <is>
          <t>Count</t>
        </is>
      </c>
    </row>
    <row r="11">
      <c r="A11" s="3" t="inlineStr">
        <is>
          <t>Total TD Principal (Active)</t>
        </is>
      </c>
      <c r="B11" s="56">
        <f>SUMIFS(Time_Deposits!$N$4:$N$100,Time_Deposits!$L$4:$L$100,"ACTIVE")</f>
        <v/>
      </c>
      <c r="C11" s="3" t="inlineStr">
        <is>
          <t>SAR</t>
        </is>
      </c>
    </row>
    <row r="14">
      <c r="A14" s="57" t="inlineStr">
        <is>
          <t>ALERT FLAGS</t>
        </is>
      </c>
      <c r="F14" s="6" t="inlineStr">
        <is>
          <t>WEEKLY CASH FLOW SUMMARY</t>
        </is>
      </c>
    </row>
    <row r="15">
      <c r="A15" s="2" t="inlineStr">
        <is>
          <t>Alert Type</t>
        </is>
      </c>
      <c r="B15" s="2" t="inlineStr">
        <is>
          <t>Status</t>
        </is>
      </c>
      <c r="C15" s="2" t="inlineStr">
        <is>
          <t>Count/Value</t>
        </is>
      </c>
      <c r="D15" s="2" t="inlineStr">
        <is>
          <t>Action Required</t>
        </is>
      </c>
      <c r="F15" s="2" t="inlineStr">
        <is>
          <t>Week</t>
        </is>
      </c>
      <c r="G15" s="2" t="inlineStr">
        <is>
          <t>Outflows</t>
        </is>
      </c>
      <c r="H15" s="2" t="inlineStr">
        <is>
          <t>Inflows</t>
        </is>
      </c>
    </row>
    <row r="16">
      <c r="A16" s="17" t="inlineStr">
        <is>
          <t>Critical Gap</t>
        </is>
      </c>
      <c r="B16" s="3">
        <f>IF(Treasury_Calendar!B18&lt;-500000,"YES","NO")</f>
        <v/>
      </c>
      <c r="C16" s="3">
        <f>IF(Treasury_Calendar!B18&lt;-500000,Treasury_Calendar!B18,"-")</f>
        <v/>
      </c>
      <c r="D16" s="3" t="inlineStr">
        <is>
          <t>Review cash position immediately</t>
        </is>
      </c>
      <c r="F16" s="3" t="inlineStr">
        <is>
          <t>This Week</t>
        </is>
      </c>
      <c r="G16" s="5">
        <f>Treasury_Calendar!B11</f>
        <v/>
      </c>
      <c r="H16" s="5">
        <f>Treasury_Calendar!B18</f>
        <v/>
      </c>
    </row>
    <row r="17">
      <c r="A17" s="16" t="inlineStr">
        <is>
          <t>Escalated Payment (PST2)</t>
        </is>
      </c>
      <c r="B17" s="3">
        <f>IF(COUNTIFS(Data_Hub!$N$4:$N$100,"PST2")&gt;0,"YES","NO")</f>
        <v/>
      </c>
      <c r="C17" s="3">
        <f>COUNTIFS(Data_Hub!$N$4:$N$100,"PST2")</f>
        <v/>
      </c>
      <c r="D17" s="3" t="inlineStr">
        <is>
          <t>Management approval required</t>
        </is>
      </c>
      <c r="F17" s="3" t="inlineStr">
        <is>
          <t>Week +1</t>
        </is>
      </c>
      <c r="G17" s="5">
        <f>Treasury_Calendar!C11</f>
        <v/>
      </c>
      <c r="H17" s="5">
        <f>Treasury_Calendar!C18</f>
        <v/>
      </c>
    </row>
    <row r="18">
      <c r="A18" s="14" t="inlineStr">
        <is>
          <t>TD Action Required</t>
        </is>
      </c>
      <c r="B18" s="3">
        <f>IF(COUNTIFS(Time_Deposits!$L$4:$L$100,"ACTION REQUIRED")&gt;0,"YES","NO")</f>
        <v/>
      </c>
      <c r="C18" s="3">
        <f>COUNTIFS(Time_Deposits!$L$4:$L$100,"ACTION REQUIRED")</f>
        <v/>
      </c>
      <c r="D18" s="3" t="inlineStr">
        <is>
          <t>Decide on matured TD</t>
        </is>
      </c>
      <c r="F18" s="3" t="inlineStr">
        <is>
          <t>Week +2</t>
        </is>
      </c>
      <c r="G18" s="5">
        <f>Treasury_Calendar!D11</f>
        <v/>
      </c>
      <c r="H18" s="5">
        <f>Treasury_Calendar!D18</f>
        <v/>
      </c>
    </row>
    <row r="19">
      <c r="A19" s="15" t="inlineStr">
        <is>
          <t>Surplus Available</t>
        </is>
      </c>
      <c r="B19" s="3">
        <f>IF(Treasury_Calendar!B18&gt;1000000,"YES","NO")</f>
        <v/>
      </c>
      <c r="C19" s="3">
        <f>IF(Treasury_Calendar!B18&gt;1000000,Treasury_Calendar!B18,"-")</f>
        <v/>
      </c>
      <c r="D19" s="3" t="inlineStr">
        <is>
          <t>Consider rolling to TD</t>
        </is>
      </c>
      <c r="F19" s="3" t="inlineStr">
        <is>
          <t>Week +3</t>
        </is>
      </c>
      <c r="G19" s="5">
        <f>Treasury_Calendar!E11</f>
        <v/>
      </c>
      <c r="H19" s="5">
        <f>Treasury_Calendar!E18</f>
        <v/>
      </c>
    </row>
  </sheetData>
  <mergeCells count="5">
    <mergeCell ref="F14:H14"/>
    <mergeCell ref="A4:D4"/>
    <mergeCell ref="F4:H4"/>
    <mergeCell ref="A1:H1"/>
    <mergeCell ref="A14:D14"/>
  </mergeCells>
  <conditionalFormatting sqref="B16:B19">
    <cfRule type="cellIs" priority="1" operator="equal" dxfId="9">
      <formula>"YES"</formula>
    </cfRule>
    <cfRule type="cellIs" priority="2" operator="equal" dxfId="6">
      <formula>"NO"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40" customWidth="1" min="4" max="4"/>
  </cols>
  <sheetData>
    <row r="1">
      <c r="A1" s="1" t="inlineStr">
        <is>
          <t>VALIDATION &amp; AUDIT FRAMEWORK</t>
        </is>
      </c>
    </row>
    <row r="3">
      <c r="A3" s="6" t="inlineStr">
        <is>
          <t>DATA INTEGRITY CHECKS</t>
        </is>
      </c>
    </row>
    <row r="4">
      <c r="A4" s="2" t="inlineStr">
        <is>
          <t>Validation Check</t>
        </is>
      </c>
      <c r="B4" s="2" t="inlineStr">
        <is>
          <t>Formula</t>
        </is>
      </c>
      <c r="C4" s="2" t="inlineStr">
        <is>
          <t>Result</t>
        </is>
      </c>
      <c r="D4" s="2" t="inlineStr">
        <is>
          <t>Status</t>
        </is>
      </c>
    </row>
    <row r="5">
      <c r="A5" s="3" t="inlineStr">
        <is>
          <t>Payment Total Reconciliation</t>
        </is>
      </c>
      <c r="B5" s="58">
        <f>SUM(Data_Hub!$M$4:$M$100)=SUM(Payment_Calendar!$D$5:$D$25)</f>
        <v/>
      </c>
      <c r="C5" s="3">
        <f>IF(SUM(Data_Hub!$M$4:$M$100)=SUM(Payment_Calendar!$D$5:$D$25),"PASS","FAIL")</f>
        <v/>
      </c>
      <c r="D5" s="3" t="inlineStr">
        <is>
          <t>Verify payment calendar matches data hub</t>
        </is>
      </c>
    </row>
    <row r="6">
      <c r="A6" s="3" t="inlineStr">
        <is>
          <t>TD Principal Balance</t>
        </is>
      </c>
      <c r="B6" s="58">
        <f>SUM(Time_Deposits!$N$4:$N$100)</f>
        <v/>
      </c>
      <c r="C6" s="3">
        <f>SUM(Time_Deposits!$N$4:$N$100)</f>
        <v/>
      </c>
      <c r="D6" s="3" t="inlineStr">
        <is>
          <t>Total TD principal</t>
        </is>
      </c>
    </row>
    <row r="7">
      <c r="A7" s="3" t="inlineStr">
        <is>
          <t>Missing Required Fields</t>
        </is>
      </c>
      <c r="B7" s="58">
        <f>COUNTBLANK(Data_Hub!$A$4:$A$100)+COUNTBLANK(Data_Hub!$G$4:$G$100)</f>
        <v/>
      </c>
      <c r="C7" s="3">
        <f>IF(COUNTBLANK(Data_Hub!$A$4:$A$100)+COUNTBLANK(Data_Hub!$G$4:$G$100)=0,"COMPLETE","INCOMPLETE")</f>
        <v/>
      </c>
      <c r="D7" s="3" t="inlineStr">
        <is>
          <t>Check for missing payment IDs or dates</t>
        </is>
      </c>
    </row>
    <row r="8">
      <c r="A8" s="3" t="inlineStr">
        <is>
          <t>Invalid Status Codes</t>
        </is>
      </c>
      <c r="B8" s="58">
        <f>COUNTIF(Data_Hub!$N$4:$N$100,"&lt;&gt;PND")-COUNTIF(Data_Hub!$N$4:$N$100,"PAID")-COUNTIF(Data_Hub!$N$4:$N$100,"PST*")-COUNTIF(Data_Hub!$N$4:$N$100,"URG")-COUNTIF(Data_Hub!$N$4:$N$100,"CAN")</f>
        <v/>
      </c>
      <c r="C8" s="3">
        <f>IF(COUNTIF(Data_Hub!$N$4:$N$100,"&lt;&gt;PND")-COUNTIF(Data_Hub!$N$4:$N$100,"PAID")-SUMPRODUCT((LEFT(Data_Hub!$N$4:$N$100,3)="PST")*1)-COUNTIF(Data_Hub!$N$4:$N$100,"URG")-COUNTIF(Data_Hub!$N$4:$N$100,"CAN")&lt;=0,"VALID","INVALID")</f>
        <v/>
      </c>
      <c r="D8" s="3" t="inlineStr">
        <is>
          <t>Verify all status codes are valid</t>
        </is>
      </c>
    </row>
    <row r="9">
      <c r="A9" s="3" t="inlineStr">
        <is>
          <t>Currency Code Validation</t>
        </is>
      </c>
      <c r="B9" s="58">
        <f>SUMPRODUCT((ISERROR(MATCH(Data_Hub!$K$4:$K$100,Exchange_Rates!$A$4:$A$11,0)))*1)</f>
        <v/>
      </c>
      <c r="C9" s="3">
        <f>IF(SUMPRODUCT((ISERROR(MATCH(Data_Hub!$K$4:$K$100,Exchange_Rates!$A$4:$A$11,0)))*1)=0,"VALID","INVALID")</f>
        <v/>
      </c>
      <c r="D9" s="3" t="inlineStr">
        <is>
          <t>All currency codes must exist in exchange rates</t>
        </is>
      </c>
    </row>
    <row r="13">
      <c r="A13" s="6" t="inlineStr">
        <is>
          <t>PERIOD SELECTOR CONFIGURATION</t>
        </is>
      </c>
    </row>
    <row r="14">
      <c r="A14" s="2" t="inlineStr">
        <is>
          <t>Selector</t>
        </is>
      </c>
      <c r="B14" s="2" t="inlineStr">
        <is>
          <t>Options</t>
        </is>
      </c>
      <c r="C14" s="2" t="inlineStr">
        <is>
          <t>Current Value</t>
        </is>
      </c>
      <c r="D14" s="2" t="inlineStr">
        <is>
          <t>Description</t>
        </is>
      </c>
    </row>
    <row r="15">
      <c r="A15" s="3" t="inlineStr">
        <is>
          <t>Period Type</t>
        </is>
      </c>
      <c r="B15" s="3" t="inlineStr">
        <is>
          <t>Weekly / Monthly / Quarterly / Yearly</t>
        </is>
      </c>
      <c r="C15" s="3" t="inlineStr">
        <is>
          <t>Weekly</t>
        </is>
      </c>
      <c r="D15" s="3" t="inlineStr">
        <is>
          <t>Changes filter scope</t>
        </is>
      </c>
    </row>
    <row r="16">
      <c r="A16" s="3" t="inlineStr">
        <is>
          <t>Week ID</t>
        </is>
      </c>
      <c r="B16" s="3" t="inlineStr">
        <is>
          <t>01-52</t>
        </is>
      </c>
      <c r="C16" s="3" t="inlineStr">
        <is>
          <t>50</t>
        </is>
      </c>
      <c r="D16" s="3" t="inlineStr">
        <is>
          <t>Filters to specific Saudi week (Sunday start)</t>
        </is>
      </c>
    </row>
    <row r="17">
      <c r="A17" s="3" t="inlineStr">
        <is>
          <t>Month</t>
        </is>
      </c>
      <c r="B17" s="3" t="inlineStr">
        <is>
          <t>Jan-Dec</t>
        </is>
      </c>
      <c r="C17" s="3" t="inlineStr">
        <is>
          <t>Dec</t>
        </is>
      </c>
      <c r="D17" s="3" t="inlineStr">
        <is>
          <t>Filters to calendar month</t>
        </is>
      </c>
    </row>
    <row r="18">
      <c r="A18" s="3" t="inlineStr">
        <is>
          <t>Quarter</t>
        </is>
      </c>
      <c r="B18" s="3" t="inlineStr">
        <is>
          <t>Q1-Q4</t>
        </is>
      </c>
      <c r="C18" s="3" t="inlineStr">
        <is>
          <t>Q4</t>
        </is>
      </c>
      <c r="D18" s="3" t="inlineStr">
        <is>
          <t>Filters to quarter</t>
        </is>
      </c>
    </row>
    <row r="19">
      <c r="A19" s="3" t="inlineStr">
        <is>
          <t>Year</t>
        </is>
      </c>
      <c r="B19" s="3" t="inlineStr">
        <is>
          <t>2024, 2025, ...</t>
        </is>
      </c>
      <c r="C19" s="3" t="inlineStr">
        <is>
          <t>2024</t>
        </is>
      </c>
      <c r="D19" s="3" t="inlineStr">
        <is>
          <t>Filters to full year</t>
        </is>
      </c>
    </row>
    <row r="22">
      <c r="A22" s="6" t="inlineStr">
        <is>
          <t>SYSTEM INFORMATION</t>
        </is>
      </c>
    </row>
    <row r="23">
      <c r="A23" s="59" t="inlineStr">
        <is>
          <t>Workbook Version</t>
        </is>
      </c>
      <c r="B23" s="3" t="inlineStr">
        <is>
          <t>1.0.0</t>
        </is>
      </c>
    </row>
    <row r="24">
      <c r="A24" s="59" t="inlineStr">
        <is>
          <t>Created Date</t>
        </is>
      </c>
      <c r="B24" s="3" t="inlineStr">
        <is>
          <t>2025-12-10</t>
        </is>
      </c>
    </row>
    <row r="25">
      <c r="A25" s="59" t="inlineStr">
        <is>
          <t>Last Modified</t>
        </is>
      </c>
      <c r="B25" s="3" t="inlineStr">
        <is>
          <t>2025-12-10 20:57:26</t>
        </is>
      </c>
    </row>
    <row r="26">
      <c r="A26" s="59" t="inlineStr">
        <is>
          <t>Base Currency</t>
        </is>
      </c>
      <c r="B26" s="3" t="inlineStr">
        <is>
          <t>SAR</t>
        </is>
      </c>
    </row>
    <row r="27">
      <c r="A27" s="59" t="inlineStr">
        <is>
          <t>Week Configuration</t>
        </is>
      </c>
      <c r="B27" s="3" t="inlineStr">
        <is>
          <t>Saudi (Sunday Start)</t>
        </is>
      </c>
    </row>
    <row r="28">
      <c r="A28" s="59" t="inlineStr">
        <is>
          <t>Payment Day</t>
        </is>
      </c>
      <c r="B28" s="3" t="inlineStr">
        <is>
          <t>Wednesday (Day 4)</t>
        </is>
      </c>
    </row>
  </sheetData>
  <mergeCells count="4">
    <mergeCell ref="A22:D22"/>
    <mergeCell ref="A1:D1"/>
    <mergeCell ref="A13:D13"/>
    <mergeCell ref="A3:D3"/>
  </mergeCells>
  <conditionalFormatting sqref="C5:C10">
    <cfRule type="cellIs" priority="1" operator="equal" dxfId="8">
      <formula>"PASS"</formula>
    </cfRule>
    <cfRule type="cellIs" priority="2" operator="equal" dxfId="9">
      <formula>"FAIL"</formula>
    </cfRule>
    <cfRule type="cellIs" priority="3" operator="equal" dxfId="8">
      <formula>"VALID"</formula>
    </cfRule>
    <cfRule type="cellIs" priority="4" operator="equal" dxfId="9">
      <formula>"INVALID"</formula>
    </cfRule>
  </conditionalFormatting>
  <dataValidations count="3">
    <dataValidation sqref="C15" showDropDown="0" showInputMessage="0" showErrorMessage="0" allowBlank="0" type="list">
      <formula1>"Weekly,Monthly,Quarterly,Yearly"</formula1>
    </dataValidation>
    <dataValidation sqref="C17" showDropDown="0" showInputMessage="0" showErrorMessage="0" allowBlank="0" type="list">
      <formula1>"Jan,Feb,Mar,Apr,May,Jun,Jul,Aug,Sep,Oct,Nov,Dec"</formula1>
    </dataValidation>
    <dataValidation sqref="C18" showDropDown="0" showInputMessage="0" showErrorMessage="0" allowBlank="0" type="list">
      <formula1>"Q1,Q2,Q3,Q4"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2025-12-10T20:57:26Z</dcterms:created>
  <dcterms:modified xsi:type="dcterms:W3CDTF">2025-12-10T20:57:26Z</dcterms:modified>
</cp:coreProperties>
</file>