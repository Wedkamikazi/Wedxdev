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FX_Rates" sheetId="2" state="visible" r:id="rId2"/>
    <sheet name="SRC_Collections" sheetId="3" state="visible" r:id="rId3"/>
    <sheet name="SRC_OPeX" sheetId="4" state="visible" r:id="rId4"/>
    <sheet name="SRC_CAPEX" sheetId="5" state="visible" r:id="rId5"/>
    <sheet name="SRC_HR" sheetId="6" state="visible" r:id="rId6"/>
    <sheet name="SRC_Debt" sheetId="7" state="visible" r:id="rId7"/>
    <sheet name="SRC_Fixed" sheetId="8" state="visible" r:id="rId8"/>
    <sheet name="SRC_Variable" sheetId="9" state="visible" r:id="rId9"/>
    <sheet name="SRC_Deposits" sheetId="10" state="visible" r:id="rId10"/>
    <sheet name="Vendor_Master" sheetId="11" state="visible" r:id="rId11"/>
    <sheet name="Payment_Data" sheetId="12" state="visible" r:id="rId12"/>
    <sheet name="Treasury_Calendar" sheetId="13" state="visible" r:id="rId13"/>
    <sheet name="Payment_Calend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00000"/>
    <numFmt numFmtId="166" formatCode="YYYY-MM-DD"/>
    <numFmt numFmtId="167" formatCode="DD-MMM"/>
    <numFmt numFmtId="168" formatCode="D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B365D"/>
      <sz val="11"/>
    </font>
    <font>
      <name val="Calibri"/>
      <b val="1"/>
      <color rgb="002D3748"/>
      <sz val="11"/>
    </font>
    <font>
      <name val="Calibri"/>
      <color rgb="002D3748"/>
      <sz val="10"/>
    </font>
    <font>
      <name val="Calibri"/>
      <color rgb="00718096"/>
      <sz val="9"/>
    </font>
    <font>
      <name val="Calibri"/>
      <b val="1"/>
      <color rgb="00FFFFFF"/>
      <sz val="12"/>
    </font>
    <font>
      <name val="Calibri"/>
      <b val="1"/>
      <color rgb="002D3748"/>
      <sz val="10"/>
    </font>
    <font>
      <name val="Calibri"/>
      <b val="1"/>
      <color rgb="00C62828"/>
      <sz val="11"/>
    </font>
    <font>
      <name val="Calibri"/>
      <b val="1"/>
      <color rgb="00E65100"/>
      <sz val="10"/>
    </font>
    <font>
      <name val="Calibri"/>
      <b val="1"/>
      <color rgb="001565C0"/>
      <sz val="10"/>
    </font>
    <font>
      <name val="Calibri"/>
      <b val="1"/>
      <color rgb="001B5E20"/>
      <sz val="10"/>
    </font>
    <font>
      <name val="Calibri"/>
      <b val="1"/>
      <color rgb="00424242"/>
      <sz val="10"/>
    </font>
    <font>
      <name val="Calibri"/>
      <b val="1"/>
      <color rgb="00FFFFFF"/>
      <sz val="10"/>
    </font>
    <font>
      <name val="Calibri"/>
      <color rgb="004A5568"/>
      <sz val="10"/>
    </font>
    <font>
      <name val="Calibri"/>
      <i val="1"/>
      <color rgb="00718096"/>
      <sz val="10"/>
    </font>
    <font>
      <name val="Calibri"/>
      <b val="1"/>
      <color rgb="00B71C1C"/>
      <sz val="10"/>
    </font>
    <font>
      <name val="Calibri"/>
      <b val="1"/>
      <sz val="10"/>
    </font>
  </fonts>
  <fills count="2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CF1"/>
        <bgColor rgb="00E8ECF1"/>
      </patternFill>
    </fill>
    <fill>
      <patternFill patternType="solid">
        <fgColor rgb="00FFFDE7"/>
        <bgColor rgb="00FFFDE7"/>
      </patternFill>
    </fill>
    <fill>
      <patternFill patternType="solid">
        <fgColor rgb="002E5090"/>
        <bgColor rgb="002E5090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9E9E9E"/>
        <bgColor rgb="009E9E9E"/>
      </patternFill>
    </fill>
    <fill>
      <patternFill patternType="solid">
        <fgColor rgb="00F44336"/>
        <bgColor rgb="00F44336"/>
      </patternFill>
    </fill>
    <fill>
      <patternFill patternType="solid">
        <fgColor rgb="002196F3"/>
        <bgColor rgb="002196F3"/>
      </patternFill>
    </fill>
    <fill>
      <patternFill patternType="solid">
        <fgColor rgb="00757575"/>
        <bgColor rgb="00757575"/>
      </patternFill>
    </fill>
    <fill>
      <patternFill patternType="solid">
        <fgColor rgb="00C8E6C9"/>
        <bgColor rgb="00C8E6C9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FFE0B2"/>
        <bgColor rgb="00FFE0B2"/>
      </patternFill>
    </fill>
    <fill>
      <patternFill patternType="solid">
        <fgColor rgb="00E0E0E0"/>
        <bgColor rgb="00E0E0E0"/>
      </patternFill>
    </fill>
    <fill>
      <patternFill patternType="solid">
        <fgColor rgb="004A7CC2"/>
        <bgColor rgb="004A7CC2"/>
      </patternFill>
    </fill>
    <fill>
      <patternFill patternType="solid">
        <fgColor rgb="00FFF8E1"/>
        <bgColor rgb="00FFF8E1"/>
      </patternFill>
    </fill>
    <fill>
      <patternFill patternType="solid">
        <fgColor rgb="00BBDEFB"/>
        <bgColor rgb="00BBDEFB"/>
      </patternFill>
    </fill>
    <fill>
      <patternFill patternType="solid">
        <fgColor rgb="00FFCDD2"/>
        <bgColor rgb="00FFCDD2"/>
      </patternFill>
    </fill>
  </fills>
  <borders count="14">
    <border>
      <left/>
      <right/>
      <top/>
      <bottom/>
      <diagonal/>
    </border>
    <border>
      <bottom style="medium">
        <color rgb="001B365D"/>
      </bottom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/>
      <right/>
      <top style="thin">
        <color rgb="00D1D9E6"/>
      </top>
      <bottom/>
      <diagonal/>
    </border>
    <border>
      <left/>
      <right style="thin">
        <color rgb="00D1D9E6"/>
      </right>
      <top style="thin">
        <color rgb="00D1D9E6"/>
      </top>
      <bottom/>
      <diagonal/>
    </border>
    <border>
      <left/>
      <right/>
      <top style="thin">
        <color rgb="00D1D9E6"/>
      </top>
      <bottom style="thin">
        <color rgb="00D1D9E6"/>
      </bottom>
      <diagonal/>
    </border>
    <border>
      <left/>
      <right style="thin">
        <color rgb="00D1D9E6"/>
      </right>
      <top style="thin">
        <color rgb="00D1D9E6"/>
      </top>
      <bottom style="thin">
        <color rgb="00D1D9E6"/>
      </bottom>
      <diagonal/>
    </border>
    <border>
      <left/>
      <right/>
      <top/>
      <bottom style="medium">
        <color rgb="001B365D"/>
      </bottom>
      <diagonal/>
    </border>
    <border>
      <left/>
      <right/>
      <top style="thin">
        <color rgb="001B365D"/>
      </top>
      <bottom/>
      <diagonal/>
    </border>
    <border>
      <left/>
      <right style="thin">
        <color rgb="001B365D"/>
      </right>
      <top style="thin">
        <color rgb="001B365D"/>
      </top>
      <bottom/>
      <diagonal/>
    </border>
    <border>
      <left/>
      <right/>
      <top style="thin">
        <color rgb="001B365D"/>
      </top>
      <bottom style="medium">
        <color rgb="001B365D"/>
      </bottom>
      <diagonal/>
    </border>
    <border>
      <left/>
      <right style="thin">
        <color rgb="001B365D"/>
      </right>
      <top style="thin">
        <color rgb="001B365D"/>
      </top>
      <bottom style="medium">
        <color rgb="001B365D"/>
      </bottom>
      <diagonal/>
    </border>
    <border>
      <right/>
      <bottom style="medium">
        <color rgb="001B365D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4" borderId="2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4" fillId="0" borderId="2" pivotButton="0" quotePrefix="0" xfId="0"/>
    <xf numFmtId="164" fontId="4" fillId="4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6" borderId="2" pivotButton="0" quotePrefix="0" xfId="0"/>
    <xf numFmtId="0" fontId="4" fillId="7" borderId="2" pivotButton="0" quotePrefix="0" xfId="0"/>
    <xf numFmtId="0" fontId="4" fillId="8" borderId="2" pivotButton="0" quotePrefix="0" xfId="0"/>
    <xf numFmtId="0" fontId="4" fillId="9" borderId="2" pivotButton="0" quotePrefix="0" xfId="0"/>
    <xf numFmtId="0" fontId="4" fillId="10" borderId="2" pivotButton="0" quotePrefix="0" xfId="0"/>
    <xf numFmtId="0" fontId="4" fillId="11" borderId="2" pivotButton="0" quotePrefix="0" xfId="0"/>
    <xf numFmtId="0" fontId="4" fillId="12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7" fillId="4" borderId="0" pivotButton="0" quotePrefix="0" xfId="0"/>
    <xf numFmtId="0" fontId="6" fillId="2" borderId="3" applyAlignment="1" pivotButton="0" quotePrefix="0" xfId="0">
      <alignment horizontal="center" vertical="center" wrapText="1"/>
    </xf>
    <xf numFmtId="165" fontId="4" fillId="3" borderId="2" applyAlignment="1" pivotButton="0" quotePrefix="0" xfId="0">
      <alignment horizontal="right" vertical="center"/>
    </xf>
    <xf numFmtId="165" fontId="4" fillId="13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2" fillId="3" borderId="0" pivotButton="0" quotePrefix="0" xfId="0"/>
    <xf numFmtId="0" fontId="4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4" fontId="4" fillId="13" borderId="2" applyAlignment="1" pivotButton="0" quotePrefix="0" xfId="0">
      <alignment horizontal="right" vertical="center"/>
    </xf>
    <xf numFmtId="166" fontId="4" fillId="1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left" vertical="center" wrapText="1"/>
    </xf>
    <xf numFmtId="0" fontId="0" fillId="4" borderId="2" pivotButton="0" quotePrefix="0" xfId="0"/>
    <xf numFmtId="4" fontId="0" fillId="14" borderId="2" pivotButton="0" quotePrefix="0" xfId="0"/>
    <xf numFmtId="0" fontId="4" fillId="13" borderId="2" pivotButton="0" quotePrefix="0" xfId="0"/>
    <xf numFmtId="10" fontId="4" fillId="13" borderId="2" pivotButton="0" quotePrefix="0" xfId="0"/>
    <xf numFmtId="10" fontId="4" fillId="0" borderId="2" pivotButton="0" quotePrefix="0" xfId="0"/>
    <xf numFmtId="0" fontId="4" fillId="15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8" fillId="19" borderId="0" applyAlignment="1" pivotButton="0" quotePrefix="0" xfId="0">
      <alignment horizontal="center" vertical="center" wrapText="1"/>
    </xf>
    <xf numFmtId="0" fontId="9" fillId="21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2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23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horizontal="center" vertical="center" wrapText="1"/>
    </xf>
    <xf numFmtId="167" fontId="5" fillId="0" borderId="2" applyAlignment="1" pivotButton="0" quotePrefix="0" xfId="0">
      <alignment horizontal="center" vertical="center" wrapText="1"/>
    </xf>
    <xf numFmtId="167" fontId="5" fillId="17" borderId="2" applyAlignment="1" pivotButton="0" quotePrefix="0" xfId="0">
      <alignment horizontal="center" vertical="center" wrapText="1"/>
    </xf>
    <xf numFmtId="167" fontId="5" fillId="2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horizontal="center" vertical="center" wrapText="1"/>
    </xf>
    <xf numFmtId="0" fontId="0" fillId="2" borderId="0" pivotButton="0" quotePrefix="0" xfId="0"/>
    <xf numFmtId="0" fontId="6" fillId="2" borderId="3" applyAlignment="1" pivotButton="0" quotePrefix="0" xfId="0">
      <alignment horizontal="left" vertical="center" wrapText="1"/>
    </xf>
    <xf numFmtId="0" fontId="0" fillId="2" borderId="2" pivotButton="0" quotePrefix="0" xfId="0"/>
    <xf numFmtId="0" fontId="14" fillId="0" borderId="2" applyAlignment="1" pivotButton="0" quotePrefix="0" xfId="0">
      <alignment horizontal="left" vertical="center" wrapText="1"/>
    </xf>
    <xf numFmtId="4" fontId="0" fillId="4" borderId="2" applyAlignment="1" pivotButton="0" quotePrefix="0" xfId="0">
      <alignment horizontal="right" vertical="center"/>
    </xf>
    <xf numFmtId="4" fontId="0" fillId="0" borderId="2" applyAlignment="1" pivotButton="0" quotePrefix="0" xfId="0">
      <alignment horizontal="right" vertical="center"/>
    </xf>
    <xf numFmtId="4" fontId="0" fillId="17" borderId="2" applyAlignment="1" pivotButton="0" quotePrefix="0" xfId="0">
      <alignment horizontal="right" vertical="center"/>
    </xf>
    <xf numFmtId="4" fontId="0" fillId="24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 wrapText="1"/>
    </xf>
    <xf numFmtId="4" fontId="2" fillId="3" borderId="2" applyAlignment="1" pivotButton="0" quotePrefix="0" xfId="0">
      <alignment horizontal="right" vertical="center"/>
    </xf>
    <xf numFmtId="4" fontId="2" fillId="24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5" fillId="18" borderId="2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center" vertical="center" wrapText="1"/>
    </xf>
    <xf numFmtId="0" fontId="5" fillId="20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0" fillId="3" borderId="2" pivotButton="0" quotePrefix="0" xfId="0"/>
    <xf numFmtId="0" fontId="10" fillId="25" borderId="2" applyAlignment="1" pivotButton="0" quotePrefix="0" xfId="0">
      <alignment horizontal="center" vertical="center" wrapText="1"/>
    </xf>
    <xf numFmtId="0" fontId="16" fillId="26" borderId="2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13" borderId="2" pivotButton="0" quotePrefix="0" xfId="0"/>
    <xf numFmtId="166" fontId="4" fillId="0" borderId="2" pivotButton="0" quotePrefix="0" xfId="0"/>
    <xf numFmtId="167" fontId="5" fillId="0" borderId="2" applyAlignment="1" pivotButton="0" quotePrefix="0" xfId="0">
      <alignment horizontal="center" vertical="center" wrapText="1"/>
    </xf>
    <xf numFmtId="167" fontId="5" fillId="17" borderId="2" applyAlignment="1" pivotButton="0" quotePrefix="0" xfId="0">
      <alignment horizontal="center" vertical="center" wrapText="1"/>
    </xf>
    <xf numFmtId="167" fontId="5" fillId="24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3" fillId="5" borderId="2" applyAlignment="1" pivotButton="0" quotePrefix="0" xfId="0">
      <alignment horizontal="center" vertical="center"/>
    </xf>
    <xf numFmtId="168" fontId="17" fillId="0" borderId="2" applyAlignment="1" pivotButton="0" quotePrefix="0" xfId="0">
      <alignment horizontal="center" vertical="center"/>
    </xf>
    <xf numFmtId="168" fontId="17" fillId="17" borderId="2" applyAlignment="1" pivotButton="0" quotePrefix="0" xfId="0">
      <alignment horizontal="center" vertical="center"/>
    </xf>
    <xf numFmtId="168" fontId="17" fillId="24" borderId="2" applyAlignment="1" pivotButton="0" quotePrefix="0" xfId="0">
      <alignment horizontal="center" vertical="center"/>
    </xf>
    <xf numFmtId="0" fontId="2" fillId="3" borderId="13" pivotButton="0" quotePrefix="0" xfId="0"/>
    <xf numFmtId="168" fontId="17" fillId="0" borderId="2" applyAlignment="1" pivotButton="0" quotePrefix="0" xfId="0">
      <alignment horizontal="center" vertical="center"/>
    </xf>
    <xf numFmtId="168" fontId="17" fillId="17" borderId="2" applyAlignment="1" pivotButton="0" quotePrefix="0" xfId="0">
      <alignment horizontal="center" vertical="center"/>
    </xf>
    <xf numFmtId="168" fontId="17" fillId="24" borderId="2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424242"/>
      </font>
      <fill>
        <patternFill patternType="solid">
          <fgColor rgb="00E0E0E0"/>
          <bgColor rgb="00E0E0E0"/>
        </patternFill>
      </fill>
    </dxf>
    <dxf>
      <font>
        <b val="1"/>
        <color rgb="001565C0"/>
      </font>
      <fill>
        <patternFill patternType="solid">
          <fgColor rgb="00BBDEFB"/>
          <bgColor rgb="00BBDEFB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ont>
        <b val="1"/>
      </font>
      <fill>
        <patternFill patternType="solid">
          <fgColor rgb="00FFF9C4"/>
          <bgColor rgb="00FFF9C4"/>
        </patternFill>
      </fill>
    </dxf>
    <dxf>
      <fill>
        <patternFill patternType="solid">
          <fgColor rgb="00B8CCE4"/>
          <bgColor rgb="00B8CCE4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6B6B"/>
          <bgColor rgb="00FF6B6B"/>
        </patternFill>
      </fill>
    </dxf>
    <dxf>
      <fill>
        <patternFill patternType="solid">
          <fgColor rgb="00E6E6E6"/>
          <bgColor rgb="00E6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 ht="35" customHeight="1">
      <c r="A1" s="1" t="inlineStr">
        <is>
          <t>TREASURY CALENDAR - CONFIGURATION</t>
        </is>
      </c>
    </row>
    <row r="3">
      <c r="A3" s="100" t="inlineStr">
        <is>
          <t>GENERAL SETTINGS</t>
        </is>
      </c>
      <c r="B3" s="88" t="n"/>
      <c r="C3" s="88" t="n"/>
      <c r="D3" s="88" t="n"/>
    </row>
    <row r="4">
      <c r="A4" s="3" t="inlineStr">
        <is>
          <t>Base Currency</t>
        </is>
      </c>
      <c r="B4" s="4" t="inlineStr">
        <is>
          <t>SAR</t>
        </is>
      </c>
      <c r="C4" s="5" t="inlineStr">
        <is>
          <t>Primary reporting currency</t>
        </is>
      </c>
    </row>
    <row r="5">
      <c r="A5" s="3" t="inlineStr">
        <is>
          <t>Calendar Start Date</t>
        </is>
      </c>
      <c r="B5" s="4" t="inlineStr">
        <is>
          <t>2025-12-10</t>
        </is>
      </c>
      <c r="C5" s="5" t="inlineStr">
        <is>
          <t>First date on calendar</t>
        </is>
      </c>
    </row>
    <row r="6">
      <c r="A6" s="3" t="inlineStr">
        <is>
          <t>Calendar Days</t>
        </is>
      </c>
      <c r="B6" s="4" t="inlineStr">
        <is>
          <t>90</t>
        </is>
      </c>
      <c r="C6" s="5" t="inlineStr">
        <is>
          <t>Number of days to display</t>
        </is>
      </c>
    </row>
    <row r="7">
      <c r="A7" s="3" t="inlineStr">
        <is>
          <t>Fiscal Year Start</t>
        </is>
      </c>
      <c r="B7" s="4" t="inlineStr">
        <is>
          <t>1</t>
        </is>
      </c>
      <c r="C7" s="5" t="inlineStr">
        <is>
          <t>Month number (1=January)</t>
        </is>
      </c>
    </row>
    <row r="8">
      <c r="A8" s="3" t="inlineStr">
        <is>
          <t>Week Start Day</t>
        </is>
      </c>
      <c r="B8" s="4" t="inlineStr">
        <is>
          <t>Sunday</t>
        </is>
      </c>
      <c r="C8" s="5" t="inlineStr">
        <is>
          <t>Saudi calendar standard</t>
        </is>
      </c>
    </row>
    <row r="9">
      <c r="A9" s="3" t="inlineStr">
        <is>
          <t>Weekend Day 1</t>
        </is>
      </c>
      <c r="B9" s="4" t="inlineStr">
        <is>
          <t>Friday</t>
        </is>
      </c>
      <c r="C9" s="5" t="inlineStr">
        <is>
          <t>Non-working day</t>
        </is>
      </c>
    </row>
    <row r="10">
      <c r="A10" s="3" t="inlineStr">
        <is>
          <t>Weekend Day 2</t>
        </is>
      </c>
      <c r="B10" s="4" t="inlineStr">
        <is>
          <t>Saturday</t>
        </is>
      </c>
      <c r="C10" s="5" t="inlineStr">
        <is>
          <t>Non-working day</t>
        </is>
      </c>
    </row>
    <row r="11">
      <c r="A11" s="3" t="inlineStr">
        <is>
          <t>Organization Name</t>
        </is>
      </c>
      <c r="B11" s="4" t="inlineStr">
        <is>
          <t>ENTERPRISE TREASURY</t>
        </is>
      </c>
      <c r="C11" s="5" t="inlineStr">
        <is>
          <t>Company name for reports</t>
        </is>
      </c>
    </row>
    <row r="14">
      <c r="A14" s="100" t="inlineStr">
        <is>
          <t>CURRENCY CONFIGURATION</t>
        </is>
      </c>
      <c r="B14" s="88" t="n"/>
      <c r="C14" s="88" t="n"/>
      <c r="D14" s="88" t="n"/>
    </row>
    <row r="15">
      <c r="A15" s="6" t="inlineStr">
        <is>
          <t>Currency Code</t>
        </is>
      </c>
      <c r="B15" s="6" t="inlineStr">
        <is>
          <t>Currency Name</t>
        </is>
      </c>
      <c r="C15" s="6" t="inlineStr">
        <is>
          <t>Rate to SAR</t>
        </is>
      </c>
      <c r="D15" s="6" t="inlineStr">
        <is>
          <t>Decimal Places</t>
        </is>
      </c>
    </row>
    <row r="16">
      <c r="A16" s="7" t="inlineStr">
        <is>
          <t>SAR</t>
        </is>
      </c>
      <c r="B16" s="8" t="inlineStr">
        <is>
          <t>Saudi Riyal</t>
        </is>
      </c>
      <c r="C16" s="9" t="n">
        <v>1</v>
      </c>
      <c r="D16" s="10" t="n">
        <v>2</v>
      </c>
    </row>
    <row r="17">
      <c r="A17" s="7" t="inlineStr">
        <is>
          <t>USD</t>
        </is>
      </c>
      <c r="B17" s="8" t="inlineStr">
        <is>
          <t>US Dollar</t>
        </is>
      </c>
      <c r="C17" s="9" t="n">
        <v>3.75</v>
      </c>
      <c r="D17" s="10" t="n">
        <v>2</v>
      </c>
    </row>
    <row r="18">
      <c r="A18" s="7" t="inlineStr">
        <is>
          <t>AED</t>
        </is>
      </c>
      <c r="B18" s="8" t="inlineStr">
        <is>
          <t>UAE Dirham</t>
        </is>
      </c>
      <c r="C18" s="9" t="n">
        <v>1.021</v>
      </c>
      <c r="D18" s="10" t="n">
        <v>2</v>
      </c>
    </row>
    <row r="19">
      <c r="A19" s="7" t="inlineStr">
        <is>
          <t>EUR</t>
        </is>
      </c>
      <c r="B19" s="8" t="inlineStr">
        <is>
          <t>Euro</t>
        </is>
      </c>
      <c r="C19" s="9" t="n">
        <v>4.125</v>
      </c>
      <c r="D19" s="10" t="n">
        <v>2</v>
      </c>
    </row>
    <row r="20">
      <c r="A20" s="7" t="inlineStr">
        <is>
          <t>GBP</t>
        </is>
      </c>
      <c r="B20" s="8" t="inlineStr">
        <is>
          <t>British Pound</t>
        </is>
      </c>
      <c r="C20" s="9" t="n">
        <v>4.75</v>
      </c>
      <c r="D20" s="10" t="n">
        <v>2</v>
      </c>
    </row>
    <row r="21">
      <c r="A21" s="7" t="inlineStr">
        <is>
          <t>SGD</t>
        </is>
      </c>
      <c r="B21" s="8" t="inlineStr">
        <is>
          <t>Singapore Dollar</t>
        </is>
      </c>
      <c r="C21" s="9" t="n">
        <v>2.78</v>
      </c>
      <c r="D21" s="10" t="n">
        <v>2</v>
      </c>
    </row>
    <row r="24">
      <c r="A24" s="100" t="inlineStr">
        <is>
          <t>PAYMENT STATUS CONFIGURATION</t>
        </is>
      </c>
      <c r="B24" s="88" t="n"/>
      <c r="C24" s="88" t="n"/>
      <c r="D24" s="88" t="n"/>
    </row>
    <row r="25">
      <c r="A25" s="6" t="inlineStr">
        <is>
          <t>Status Code</t>
        </is>
      </c>
      <c r="B25" s="6" t="inlineStr">
        <is>
          <t>Display Name</t>
        </is>
      </c>
      <c r="C25" s="6" t="inlineStr">
        <is>
          <t>Color Code</t>
        </is>
      </c>
      <c r="D25" s="6" t="inlineStr">
        <is>
          <t>Priority</t>
        </is>
      </c>
    </row>
    <row r="26">
      <c r="A26" s="7" t="inlineStr">
        <is>
          <t>PAID</t>
        </is>
      </c>
      <c r="B26" s="8" t="inlineStr">
        <is>
          <t>Paid</t>
        </is>
      </c>
      <c r="C26" s="11" t="inlineStr">
        <is>
          <t>4CAF50</t>
        </is>
      </c>
      <c r="D26" s="10" t="n">
        <v>1</v>
      </c>
    </row>
    <row r="27">
      <c r="A27" s="7" t="inlineStr">
        <is>
          <t>PENDING</t>
        </is>
      </c>
      <c r="B27" s="8" t="inlineStr">
        <is>
          <t>Pending</t>
        </is>
      </c>
      <c r="C27" s="12" t="inlineStr">
        <is>
          <t>FF9800</t>
        </is>
      </c>
      <c r="D27" s="10" t="n">
        <v>2</v>
      </c>
    </row>
    <row r="28">
      <c r="A28" s="7" t="inlineStr">
        <is>
          <t>POSTPONED</t>
        </is>
      </c>
      <c r="B28" s="8" t="inlineStr">
        <is>
          <t>Postponed</t>
        </is>
      </c>
      <c r="C28" s="13" t="inlineStr">
        <is>
          <t>9E9E9E</t>
        </is>
      </c>
      <c r="D28" s="10" t="n">
        <v>3</v>
      </c>
    </row>
    <row r="29">
      <c r="A29" s="7" t="inlineStr">
        <is>
          <t>OVERDUE</t>
        </is>
      </c>
      <c r="B29" s="8" t="inlineStr">
        <is>
          <t>Overdue</t>
        </is>
      </c>
      <c r="C29" s="14" t="inlineStr">
        <is>
          <t>F44336</t>
        </is>
      </c>
      <c r="D29" s="10" t="n">
        <v>4</v>
      </c>
    </row>
    <row r="30">
      <c r="A30" s="7" t="inlineStr">
        <is>
          <t>SCHEDULED</t>
        </is>
      </c>
      <c r="B30" s="8" t="inlineStr">
        <is>
          <t>Scheduled</t>
        </is>
      </c>
      <c r="C30" s="15" t="inlineStr">
        <is>
          <t>2196F3</t>
        </is>
      </c>
      <c r="D30" s="10" t="n">
        <v>5</v>
      </c>
    </row>
    <row r="31">
      <c r="A31" s="7" t="inlineStr">
        <is>
          <t>CANCELLED</t>
        </is>
      </c>
      <c r="B31" s="8" t="inlineStr">
        <is>
          <t>Cancelled</t>
        </is>
      </c>
      <c r="C31" s="16" t="inlineStr">
        <is>
          <t>757575</t>
        </is>
      </c>
      <c r="D31" s="10" t="n">
        <v>6</v>
      </c>
    </row>
    <row r="34">
      <c r="A34" s="100" t="inlineStr">
        <is>
          <t>PAYMENT CATEGORIES</t>
        </is>
      </c>
      <c r="B34" s="88" t="n"/>
      <c r="C34" s="88" t="n"/>
      <c r="D34" s="88" t="n"/>
    </row>
    <row r="35">
      <c r="A35" s="6" t="inlineStr">
        <is>
          <t>Category Code</t>
        </is>
      </c>
      <c r="B35" s="6" t="inlineStr">
        <is>
          <t>Category Name</t>
        </is>
      </c>
      <c r="C35" s="6" t="inlineStr">
        <is>
          <t>Sort Order</t>
        </is>
      </c>
      <c r="D35" s="6" t="inlineStr">
        <is>
          <t>Active</t>
        </is>
      </c>
    </row>
    <row r="36">
      <c r="A36" s="7" t="inlineStr">
        <is>
          <t>VENDOR</t>
        </is>
      </c>
      <c r="B36" s="8" t="inlineStr">
        <is>
          <t>Vendor Payments</t>
        </is>
      </c>
      <c r="C36" s="10" t="n">
        <v>1</v>
      </c>
      <c r="D36" s="17" t="inlineStr">
        <is>
          <t>Yes</t>
        </is>
      </c>
    </row>
    <row r="37">
      <c r="A37" s="7" t="inlineStr">
        <is>
          <t>HR</t>
        </is>
      </c>
      <c r="B37" s="8" t="inlineStr">
        <is>
          <t>Human Resources</t>
        </is>
      </c>
      <c r="C37" s="10" t="n">
        <v>2</v>
      </c>
      <c r="D37" s="17" t="inlineStr">
        <is>
          <t>Yes</t>
        </is>
      </c>
    </row>
    <row r="38">
      <c r="A38" s="7" t="inlineStr">
        <is>
          <t>GOVT</t>
        </is>
      </c>
      <c r="B38" s="8" t="inlineStr">
        <is>
          <t>Government Payments</t>
        </is>
      </c>
      <c r="C38" s="10" t="n">
        <v>3</v>
      </c>
      <c r="D38" s="17" t="inlineStr">
        <is>
          <t>Yes</t>
        </is>
      </c>
    </row>
    <row r="39">
      <c r="A39" s="7" t="inlineStr">
        <is>
          <t>STRATEGIC</t>
        </is>
      </c>
      <c r="B39" s="8" t="inlineStr">
        <is>
          <t>Strategic Payments</t>
        </is>
      </c>
      <c r="C39" s="10" t="n">
        <v>4</v>
      </c>
      <c r="D39" s="17" t="inlineStr">
        <is>
          <t>Yes</t>
        </is>
      </c>
    </row>
    <row r="40">
      <c r="A40" s="7" t="inlineStr">
        <is>
          <t>LOAN</t>
        </is>
      </c>
      <c r="B40" s="8" t="inlineStr">
        <is>
          <t>Loan Repayments</t>
        </is>
      </c>
      <c r="C40" s="10" t="n">
        <v>5</v>
      </c>
      <c r="D40" s="17" t="inlineStr">
        <is>
          <t>Yes</t>
        </is>
      </c>
    </row>
    <row r="41">
      <c r="A41" s="7" t="inlineStr">
        <is>
          <t>OPEX</t>
        </is>
      </c>
      <c r="B41" s="8" t="inlineStr">
        <is>
          <t>Operating Expenses</t>
        </is>
      </c>
      <c r="C41" s="10" t="n">
        <v>6</v>
      </c>
      <c r="D41" s="17" t="inlineStr">
        <is>
          <t>Yes</t>
        </is>
      </c>
    </row>
    <row r="42">
      <c r="A42" s="7" t="inlineStr">
        <is>
          <t>CAPEX</t>
        </is>
      </c>
      <c r="B42" s="8" t="inlineStr">
        <is>
          <t>Capital Expenditures</t>
        </is>
      </c>
      <c r="C42" s="10" t="n">
        <v>7</v>
      </c>
      <c r="D42" s="17" t="inlineStr">
        <is>
          <t>Yes</t>
        </is>
      </c>
    </row>
    <row r="43">
      <c r="A43" s="7" t="inlineStr">
        <is>
          <t>UTILITY</t>
        </is>
      </c>
      <c r="B43" s="8" t="inlineStr">
        <is>
          <t>Utilities</t>
        </is>
      </c>
      <c r="C43" s="10" t="n">
        <v>8</v>
      </c>
      <c r="D43" s="17" t="inlineStr">
        <is>
          <t>Yes</t>
        </is>
      </c>
    </row>
    <row r="44">
      <c r="A44" s="7" t="inlineStr">
        <is>
          <t>OTHER</t>
        </is>
      </c>
      <c r="B44" s="8" t="inlineStr">
        <is>
          <t>Other Payments</t>
        </is>
      </c>
      <c r="C44" s="10" t="n">
        <v>9</v>
      </c>
      <c r="D44" s="17" t="inlineStr">
        <is>
          <t>Yes</t>
        </is>
      </c>
    </row>
    <row r="47">
      <c r="A47" s="100" t="inlineStr">
        <is>
          <t>NAMED RANGES REFERENCE</t>
        </is>
      </c>
      <c r="B47" s="88" t="n"/>
      <c r="C47" s="88" t="n"/>
      <c r="D47" s="88" t="n"/>
    </row>
    <row r="48">
      <c r="A48" s="18" t="inlineStr">
        <is>
          <t>cfg_BaseCurrency</t>
        </is>
      </c>
      <c r="B48" s="19" t="inlineStr">
        <is>
          <t>B4</t>
        </is>
      </c>
      <c r="C48" s="20" t="inlineStr">
        <is>
          <t>Base currency code</t>
        </is>
      </c>
    </row>
    <row r="49">
      <c r="A49" s="18" t="inlineStr">
        <is>
          <t>cfg_CalendarStart</t>
        </is>
      </c>
      <c r="B49" s="19" t="inlineStr">
        <is>
          <t>B5</t>
        </is>
      </c>
      <c r="C49" s="20" t="inlineStr">
        <is>
          <t>Calendar start date</t>
        </is>
      </c>
    </row>
    <row r="50">
      <c r="A50" s="18" t="inlineStr">
        <is>
          <t>cfg_CalendarDays</t>
        </is>
      </c>
      <c r="B50" s="19" t="inlineStr">
        <is>
          <t>B6</t>
        </is>
      </c>
      <c r="C50" s="20" t="inlineStr">
        <is>
          <t>Number of calendar days</t>
        </is>
      </c>
    </row>
    <row r="51">
      <c r="A51" s="18" t="inlineStr">
        <is>
          <t>cfg_FiscalYearStart</t>
        </is>
      </c>
      <c r="B51" s="19" t="inlineStr">
        <is>
          <t>B7</t>
        </is>
      </c>
      <c r="C51" s="20" t="inlineStr">
        <is>
          <t>Fiscal year start month</t>
        </is>
      </c>
    </row>
    <row r="52">
      <c r="A52" s="18" t="inlineStr">
        <is>
          <t>cfg_WeekStart</t>
        </is>
      </c>
      <c r="B52" s="19" t="inlineStr">
        <is>
          <t>B8</t>
        </is>
      </c>
      <c r="C52" s="20" t="inlineStr">
        <is>
          <t>Week start day</t>
        </is>
      </c>
    </row>
    <row r="53">
      <c r="A53" s="18" t="inlineStr">
        <is>
          <t>cfg_OrgName</t>
        </is>
      </c>
      <c r="B53" s="19" t="inlineStr">
        <is>
          <t>B11</t>
        </is>
      </c>
      <c r="C53" s="20" t="inlineStr">
        <is>
          <t>Organization name</t>
        </is>
      </c>
    </row>
  </sheetData>
  <mergeCells count="6">
    <mergeCell ref="A34:D34"/>
    <mergeCell ref="A3:D3"/>
    <mergeCell ref="A24:D24"/>
    <mergeCell ref="A1:H1"/>
    <mergeCell ref="A47:D4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5" customHeight="1">
      <c r="A1" s="1" t="inlineStr">
        <is>
          <t>EXCHANGE RATES - CURRENCY CONVERSION TABLE</t>
        </is>
      </c>
    </row>
    <row r="3">
      <c r="A3" s="21" t="inlineStr">
        <is>
          <t>Effective Date:</t>
        </is>
      </c>
      <c r="B3" s="22" t="inlineStr">
        <is>
          <t>2025-12-10</t>
        </is>
      </c>
    </row>
    <row r="5">
      <c r="A5" s="23" t="inlineStr">
        <is>
          <t>FROM \ TO</t>
        </is>
      </c>
      <c r="B5" s="23" t="inlineStr">
        <is>
          <t>SAR</t>
        </is>
      </c>
      <c r="C5" s="23" t="inlineStr">
        <is>
          <t>USD</t>
        </is>
      </c>
      <c r="D5" s="23" t="inlineStr">
        <is>
          <t>AED</t>
        </is>
      </c>
      <c r="E5" s="23" t="inlineStr">
        <is>
          <t>EUR</t>
        </is>
      </c>
      <c r="F5" s="23" t="inlineStr">
        <is>
          <t>GBP</t>
        </is>
      </c>
      <c r="G5" s="23" t="inlineStr">
        <is>
          <t>SGD</t>
        </is>
      </c>
    </row>
    <row r="6">
      <c r="A6" s="6" t="inlineStr">
        <is>
          <t>SAR</t>
        </is>
      </c>
      <c r="B6" s="24" t="n">
        <v>1</v>
      </c>
      <c r="C6" s="25" t="n">
        <v>0.266667</v>
      </c>
      <c r="D6" s="25" t="n">
        <v>0.979432</v>
      </c>
      <c r="E6" s="25" t="n">
        <v>0.242424</v>
      </c>
      <c r="F6" s="25" t="n">
        <v>0.210526</v>
      </c>
      <c r="G6" s="25" t="n">
        <v>0.359712</v>
      </c>
    </row>
    <row r="7">
      <c r="A7" s="6" t="inlineStr">
        <is>
          <t>USD</t>
        </is>
      </c>
      <c r="B7" s="26" t="n">
        <v>3.75</v>
      </c>
      <c r="C7" s="24" t="n">
        <v>1</v>
      </c>
      <c r="D7" s="26" t="n">
        <v>3.67287</v>
      </c>
      <c r="E7" s="26" t="n">
        <v>0.909091</v>
      </c>
      <c r="F7" s="26" t="n">
        <v>0.789474</v>
      </c>
      <c r="G7" s="26" t="n">
        <v>1.348921</v>
      </c>
    </row>
    <row r="8">
      <c r="A8" s="6" t="inlineStr">
        <is>
          <t>AED</t>
        </is>
      </c>
      <c r="B8" s="25" t="n">
        <v>1.021</v>
      </c>
      <c r="C8" s="25" t="n">
        <v>0.272267</v>
      </c>
      <c r="D8" s="24" t="n">
        <v>1</v>
      </c>
      <c r="E8" s="25" t="n">
        <v>0.247515</v>
      </c>
      <c r="F8" s="25" t="n">
        <v>0.214947</v>
      </c>
      <c r="G8" s="25" t="n">
        <v>0.367266</v>
      </c>
    </row>
    <row r="9">
      <c r="A9" s="6" t="inlineStr">
        <is>
          <t>EUR</t>
        </is>
      </c>
      <c r="B9" s="26" t="n">
        <v>4.125</v>
      </c>
      <c r="C9" s="26" t="n">
        <v>1.1</v>
      </c>
      <c r="D9" s="26" t="n">
        <v>4.040157</v>
      </c>
      <c r="E9" s="24" t="n">
        <v>1</v>
      </c>
      <c r="F9" s="26" t="n">
        <v>0.868421</v>
      </c>
      <c r="G9" s="26" t="n">
        <v>1.483813</v>
      </c>
    </row>
    <row r="10">
      <c r="A10" s="6" t="inlineStr">
        <is>
          <t>GBP</t>
        </is>
      </c>
      <c r="B10" s="25" t="n">
        <v>4.75</v>
      </c>
      <c r="C10" s="25" t="n">
        <v>1.266667</v>
      </c>
      <c r="D10" s="25" t="n">
        <v>4.652302</v>
      </c>
      <c r="E10" s="25" t="n">
        <v>1.151515</v>
      </c>
      <c r="F10" s="24" t="n">
        <v>1</v>
      </c>
      <c r="G10" s="25" t="n">
        <v>1.708633</v>
      </c>
    </row>
    <row r="11">
      <c r="A11" s="6" t="inlineStr">
        <is>
          <t>SGD</t>
        </is>
      </c>
      <c r="B11" s="26" t="n">
        <v>2.78</v>
      </c>
      <c r="C11" s="26" t="n">
        <v>0.741333</v>
      </c>
      <c r="D11" s="26" t="n">
        <v>2.722821</v>
      </c>
      <c r="E11" s="26" t="n">
        <v>0.673939</v>
      </c>
      <c r="F11" s="26" t="n">
        <v>0.585263</v>
      </c>
      <c r="G11" s="24" t="n">
        <v>1</v>
      </c>
    </row>
    <row r="14">
      <c r="A14" s="27" t="inlineStr">
        <is>
          <t>CONVERSION FORMULA REFERENCE</t>
        </is>
      </c>
    </row>
    <row r="15">
      <c r="A15" s="21" t="inlineStr">
        <is>
          <t>To convert amount to SAR:</t>
        </is>
      </c>
    </row>
    <row r="16">
      <c r="A16" s="18">
        <f>Amount * VLOOKUP(Currency, FX_Rates.$A$6:$B$11, 2, FALSE)</f>
        <v/>
      </c>
    </row>
    <row r="18">
      <c r="A18" s="21" t="inlineStr">
        <is>
          <t>LibreOffice Compatible Formula (with IFERROR):</t>
        </is>
      </c>
    </row>
    <row r="19">
      <c r="A19" s="18">
        <f>IFERROR(Amount * VLOOKUP(Currency, $A$6:$B$11, 2, 0), 0)</f>
        <v/>
      </c>
    </row>
  </sheetData>
  <mergeCells count="4">
    <mergeCell ref="A14:G14"/>
    <mergeCell ref="A16:G16"/>
    <mergeCell ref="A19:G1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30" customWidth="1" min="4" max="4"/>
    <col width="12" customWidth="1" min="5" max="5"/>
    <col width="15" customWidth="1" min="6" max="6"/>
    <col width="15" customWidth="1" min="7" max="7"/>
    <col width="12" customWidth="1" min="8" max="8"/>
    <col width="15" customWidth="1" min="9" max="9"/>
    <col width="12" customWidth="1" min="10" max="10"/>
    <col width="12" customWidth="1" min="11" max="11"/>
    <col width="25" customWidth="1" min="12" max="12"/>
  </cols>
  <sheetData>
    <row r="1" ht="35" customHeight="1">
      <c r="A1" s="1" t="inlineStr">
        <is>
          <t>SOURCE DATA - COLLECTIONS &amp; RECEIVABLES</t>
        </is>
      </c>
    </row>
    <row r="3">
      <c r="A3" s="6" t="inlineStr">
        <is>
          <t>Collection ID</t>
        </is>
      </c>
      <c r="B3" s="6" t="inlineStr">
        <is>
          <t>Customer Name</t>
        </is>
      </c>
      <c r="C3" s="6" t="inlineStr">
        <is>
          <t>Invoice Ref</t>
        </is>
      </c>
      <c r="D3" s="6" t="inlineStr">
        <is>
          <t>Description</t>
        </is>
      </c>
      <c r="E3" s="6" t="inlineStr">
        <is>
          <t>Original CCY</t>
        </is>
      </c>
      <c r="F3" s="6" t="inlineStr">
        <is>
          <t>Amount (CCY)</t>
        </is>
      </c>
      <c r="G3" s="6" t="inlineStr">
        <is>
          <t>Amount (SAR)</t>
        </is>
      </c>
      <c r="H3" s="6" t="inlineStr">
        <is>
          <t>Expected Date</t>
        </is>
      </c>
      <c r="I3" s="6" t="inlineStr">
        <is>
          <t>Collection Type</t>
        </is>
      </c>
      <c r="J3" s="6" t="inlineStr">
        <is>
          <t>Probability %</t>
        </is>
      </c>
      <c r="K3" s="6" t="inlineStr">
        <is>
          <t>Status</t>
        </is>
      </c>
      <c r="L3" s="6" t="inlineStr">
        <is>
          <t>Notes</t>
        </is>
      </c>
    </row>
    <row r="4">
      <c r="A4" s="28" t="inlineStr">
        <is>
          <t>COL-001</t>
        </is>
      </c>
      <c r="B4" s="29" t="inlineStr">
        <is>
          <t>Saudi Aramco</t>
        </is>
      </c>
      <c r="C4" s="29" t="inlineStr">
        <is>
          <t>INV-2024-001</t>
        </is>
      </c>
      <c r="D4" s="29" t="inlineStr">
        <is>
          <t>Project Payment Milestone 1</t>
        </is>
      </c>
      <c r="E4" s="28" t="inlineStr">
        <is>
          <t>SAR</t>
        </is>
      </c>
      <c r="F4" s="30" t="n">
        <v>500000</v>
      </c>
      <c r="G4" s="30">
        <f>IFERROR(F4*VLOOKUP(E4,FX_Rates.$A$6:$B$11,2,0),0)</f>
        <v/>
      </c>
      <c r="H4" s="31" t="n">
        <v>45641</v>
      </c>
      <c r="I4" s="28" t="inlineStr">
        <is>
          <t>Invoice</t>
        </is>
      </c>
      <c r="J4" s="28" t="n">
        <v>95</v>
      </c>
      <c r="K4" s="28" t="inlineStr">
        <is>
          <t>SCHEDULED</t>
        </is>
      </c>
      <c r="L4" s="29" t="inlineStr">
        <is>
          <t>Due in 30 days</t>
        </is>
      </c>
    </row>
    <row r="5">
      <c r="A5" s="10" t="inlineStr">
        <is>
          <t>COL-002</t>
        </is>
      </c>
      <c r="B5" s="32" t="inlineStr">
        <is>
          <t>SABIC</t>
        </is>
      </c>
      <c r="C5" s="32" t="inlineStr">
        <is>
          <t>INV-2024-002</t>
        </is>
      </c>
      <c r="D5" s="32" t="inlineStr">
        <is>
          <t>Consulting Services Q4</t>
        </is>
      </c>
      <c r="E5" s="10" t="inlineStr">
        <is>
          <t>SAR</t>
        </is>
      </c>
      <c r="F5" s="33" t="n">
        <v>250000</v>
      </c>
      <c r="G5" s="33">
        <f>IFERROR(F5*VLOOKUP(E5,FX_Rates.$A$6:$B$11,2,0),0)</f>
        <v/>
      </c>
      <c r="H5" s="34" t="n">
        <v>45646</v>
      </c>
      <c r="I5" s="10" t="inlineStr">
        <is>
          <t>Invoice</t>
        </is>
      </c>
      <c r="J5" s="10" t="n">
        <v>90</v>
      </c>
      <c r="K5" s="10" t="inlineStr">
        <is>
          <t>SCHEDULED</t>
        </is>
      </c>
      <c r="L5" s="32" t="inlineStr"/>
    </row>
    <row r="6">
      <c r="A6" s="28" t="inlineStr">
        <is>
          <t>COL-003</t>
        </is>
      </c>
      <c r="B6" s="29" t="inlineStr">
        <is>
          <t>STC</t>
        </is>
      </c>
      <c r="C6" s="29" t="inlineStr">
        <is>
          <t>INV-2024-003</t>
        </is>
      </c>
      <c r="D6" s="29" t="inlineStr">
        <is>
          <t>Technology Implementation</t>
        </is>
      </c>
      <c r="E6" s="28" t="inlineStr">
        <is>
          <t>USD</t>
        </is>
      </c>
      <c r="F6" s="30" t="n">
        <v>150000</v>
      </c>
      <c r="G6" s="30">
        <f>IFERROR(F6*VLOOKUP(E6,FX_Rates.$A$6:$B$11,2,0),0)</f>
        <v/>
      </c>
      <c r="H6" s="31" t="n">
        <v>45651</v>
      </c>
      <c r="I6" s="28" t="inlineStr">
        <is>
          <t>Invoice</t>
        </is>
      </c>
      <c r="J6" s="28" t="n">
        <v>85</v>
      </c>
      <c r="K6" s="28" t="inlineStr">
        <is>
          <t>PENDING</t>
        </is>
      </c>
      <c r="L6" s="29" t="inlineStr">
        <is>
          <t>Awaiting approval</t>
        </is>
      </c>
    </row>
    <row r="7">
      <c r="A7" s="10" t="inlineStr">
        <is>
          <t>COL-004</t>
        </is>
      </c>
      <c r="B7" s="32" t="inlineStr">
        <is>
          <t>Almarai</t>
        </is>
      </c>
      <c r="C7" s="32" t="inlineStr">
        <is>
          <t>INV-2024-004</t>
        </is>
      </c>
      <c r="D7" s="32" t="inlineStr">
        <is>
          <t>Annual Maintenance Contract</t>
        </is>
      </c>
      <c r="E7" s="10" t="inlineStr">
        <is>
          <t>SAR</t>
        </is>
      </c>
      <c r="F7" s="33" t="n">
        <v>180000</v>
      </c>
      <c r="G7" s="33">
        <f>IFERROR(F7*VLOOKUP(E7,FX_Rates.$A$6:$B$11,2,0),0)</f>
        <v/>
      </c>
      <c r="H7" s="34" t="n">
        <v>45662</v>
      </c>
      <c r="I7" s="10" t="inlineStr">
        <is>
          <t>Contract</t>
        </is>
      </c>
      <c r="J7" s="10" t="n">
        <v>100</v>
      </c>
      <c r="K7" s="10" t="inlineStr">
        <is>
          <t>SCHEDULED</t>
        </is>
      </c>
      <c r="L7" s="32" t="inlineStr">
        <is>
          <t>Recurring</t>
        </is>
      </c>
    </row>
    <row r="8">
      <c r="A8" s="28" t="inlineStr">
        <is>
          <t>COL-005</t>
        </is>
      </c>
      <c r="B8" s="29" t="inlineStr">
        <is>
          <t>Mobily</t>
        </is>
      </c>
      <c r="C8" s="29" t="inlineStr">
        <is>
          <t>INV-2024-005</t>
        </is>
      </c>
      <c r="D8" s="29" t="inlineStr">
        <is>
          <t>Network Services</t>
        </is>
      </c>
      <c r="E8" s="28" t="inlineStr">
        <is>
          <t>EUR</t>
        </is>
      </c>
      <c r="F8" s="30" t="n">
        <v>75000</v>
      </c>
      <c r="G8" s="30">
        <f>IFERROR(F8*VLOOKUP(E8,FX_Rates.$A$6:$B$11,2,0),0)</f>
        <v/>
      </c>
      <c r="H8" s="31" t="n">
        <v>45667</v>
      </c>
      <c r="I8" s="28" t="inlineStr">
        <is>
          <t>Invoice</t>
        </is>
      </c>
      <c r="J8" s="28" t="n">
        <v>80</v>
      </c>
      <c r="K8" s="28" t="inlineStr">
        <is>
          <t>PENDING</t>
        </is>
      </c>
      <c r="L8" s="29" t="inlineStr"/>
    </row>
    <row r="9">
      <c r="A9" s="35" t="n"/>
      <c r="B9" s="35" t="n"/>
      <c r="C9" s="35" t="n"/>
      <c r="D9" s="35" t="n"/>
      <c r="E9" s="35" t="n"/>
      <c r="F9" s="35" t="n"/>
      <c r="G9" s="36">
        <f>IFERROR(IF(F9="","",F9*VLOOKUP(E9,FX_Rates.$A$6:$B$11,2,0)),0)</f>
        <v/>
      </c>
      <c r="H9" s="35" t="n"/>
      <c r="I9" s="35" t="n"/>
      <c r="J9" s="35" t="n"/>
      <c r="K9" s="35" t="n"/>
      <c r="L9" s="35" t="n"/>
    </row>
    <row r="10">
      <c r="A10" s="35" t="n"/>
      <c r="B10" s="35" t="n"/>
      <c r="C10" s="35" t="n"/>
      <c r="D10" s="35" t="n"/>
      <c r="E10" s="35" t="n"/>
      <c r="F10" s="35" t="n"/>
      <c r="G10" s="36">
        <f>IFERROR(IF(F10="","",F10*VLOOKUP(E10,FX_Rates.$A$6:$B$11,2,0)),0)</f>
        <v/>
      </c>
      <c r="H10" s="35" t="n"/>
      <c r="I10" s="35" t="n"/>
      <c r="J10" s="35" t="n"/>
      <c r="K10" s="35" t="n"/>
      <c r="L10" s="35" t="n"/>
    </row>
    <row r="11">
      <c r="A11" s="35" t="n"/>
      <c r="B11" s="35" t="n"/>
      <c r="C11" s="35" t="n"/>
      <c r="D11" s="35" t="n"/>
      <c r="E11" s="35" t="n"/>
      <c r="F11" s="35" t="n"/>
      <c r="G11" s="36">
        <f>IFERROR(IF(F11="","",F11*VLOOKUP(E11,FX_Rates.$A$6:$B$11,2,0)),0)</f>
        <v/>
      </c>
      <c r="H11" s="35" t="n"/>
      <c r="I11" s="35" t="n"/>
      <c r="J11" s="35" t="n"/>
      <c r="K11" s="35" t="n"/>
      <c r="L11" s="35" t="n"/>
    </row>
    <row r="12">
      <c r="A12" s="35" t="n"/>
      <c r="B12" s="35" t="n"/>
      <c r="C12" s="35" t="n"/>
      <c r="D12" s="35" t="n"/>
      <c r="E12" s="35" t="n"/>
      <c r="F12" s="35" t="n"/>
      <c r="G12" s="36">
        <f>IFERROR(IF(F12="","",F12*VLOOKUP(E12,FX_Rates.$A$6:$B$11,2,0)),0)</f>
        <v/>
      </c>
      <c r="H12" s="35" t="n"/>
      <c r="I12" s="35" t="n"/>
      <c r="J12" s="35" t="n"/>
      <c r="K12" s="35" t="n"/>
      <c r="L12" s="35" t="n"/>
    </row>
    <row r="13">
      <c r="A13" s="35" t="n"/>
      <c r="B13" s="35" t="n"/>
      <c r="C13" s="35" t="n"/>
      <c r="D13" s="35" t="n"/>
      <c r="E13" s="35" t="n"/>
      <c r="F13" s="35" t="n"/>
      <c r="G13" s="36">
        <f>IFERROR(IF(F13="","",F13*VLOOKUP(E13,FX_Rates.$A$6:$B$11,2,0)),0)</f>
        <v/>
      </c>
      <c r="H13" s="35" t="n"/>
      <c r="I13" s="35" t="n"/>
      <c r="J13" s="35" t="n"/>
      <c r="K13" s="35" t="n"/>
      <c r="L13" s="35" t="n"/>
    </row>
    <row r="14">
      <c r="A14" s="35" t="n"/>
      <c r="B14" s="35" t="n"/>
      <c r="C14" s="35" t="n"/>
      <c r="D14" s="35" t="n"/>
      <c r="E14" s="35" t="n"/>
      <c r="F14" s="35" t="n"/>
      <c r="G14" s="36">
        <f>IFERROR(IF(F14="","",F14*VLOOKUP(E14,FX_Rates.$A$6:$B$11,2,0)),0)</f>
        <v/>
      </c>
      <c r="H14" s="35" t="n"/>
      <c r="I14" s="35" t="n"/>
      <c r="J14" s="35" t="n"/>
      <c r="K14" s="35" t="n"/>
      <c r="L14" s="35" t="n"/>
    </row>
    <row r="15">
      <c r="A15" s="35" t="n"/>
      <c r="B15" s="35" t="n"/>
      <c r="C15" s="35" t="n"/>
      <c r="D15" s="35" t="n"/>
      <c r="E15" s="35" t="n"/>
      <c r="F15" s="35" t="n"/>
      <c r="G15" s="36">
        <f>IFERROR(IF(F15="","",F15*VLOOKUP(E15,FX_Rates.$A$6:$B$11,2,0)),0)</f>
        <v/>
      </c>
      <c r="H15" s="35" t="n"/>
      <c r="I15" s="35" t="n"/>
      <c r="J15" s="35" t="n"/>
      <c r="K15" s="35" t="n"/>
      <c r="L15" s="35" t="n"/>
    </row>
    <row r="16">
      <c r="A16" s="35" t="n"/>
      <c r="B16" s="35" t="n"/>
      <c r="C16" s="35" t="n"/>
      <c r="D16" s="35" t="n"/>
      <c r="E16" s="35" t="n"/>
      <c r="F16" s="35" t="n"/>
      <c r="G16" s="36">
        <f>IFERROR(IF(F16="","",F16*VLOOKUP(E16,FX_Rates.$A$6:$B$11,2,0)),0)</f>
        <v/>
      </c>
      <c r="H16" s="35" t="n"/>
      <c r="I16" s="35" t="n"/>
      <c r="J16" s="35" t="n"/>
      <c r="K16" s="35" t="n"/>
      <c r="L16" s="35" t="n"/>
    </row>
    <row r="17">
      <c r="A17" s="35" t="n"/>
      <c r="B17" s="35" t="n"/>
      <c r="C17" s="35" t="n"/>
      <c r="D17" s="35" t="n"/>
      <c r="E17" s="35" t="n"/>
      <c r="F17" s="35" t="n"/>
      <c r="G17" s="36">
        <f>IFERROR(IF(F17="","",F17*VLOOKUP(E17,FX_Rates.$A$6:$B$11,2,0)),0)</f>
        <v/>
      </c>
      <c r="H17" s="35" t="n"/>
      <c r="I17" s="35" t="n"/>
      <c r="J17" s="35" t="n"/>
      <c r="K17" s="35" t="n"/>
      <c r="L17" s="35" t="n"/>
    </row>
    <row r="18">
      <c r="A18" s="35" t="n"/>
      <c r="B18" s="35" t="n"/>
      <c r="C18" s="35" t="n"/>
      <c r="D18" s="35" t="n"/>
      <c r="E18" s="35" t="n"/>
      <c r="F18" s="35" t="n"/>
      <c r="G18" s="36">
        <f>IFERROR(IF(F18="","",F18*VLOOKUP(E18,FX_Rates.$A$6:$B$11,2,0)),0)</f>
        <v/>
      </c>
      <c r="H18" s="35" t="n"/>
      <c r="I18" s="35" t="n"/>
      <c r="J18" s="35" t="n"/>
      <c r="K18" s="35" t="n"/>
      <c r="L18" s="35" t="n"/>
    </row>
    <row r="19">
      <c r="A19" s="35" t="n"/>
      <c r="B19" s="35" t="n"/>
      <c r="C19" s="35" t="n"/>
      <c r="D19" s="35" t="n"/>
      <c r="E19" s="35" t="n"/>
      <c r="F19" s="35" t="n"/>
      <c r="G19" s="36">
        <f>IFERROR(IF(F19="","",F19*VLOOKUP(E19,FX_Rates.$A$6:$B$11,2,0)),0)</f>
        <v/>
      </c>
      <c r="H19" s="35" t="n"/>
      <c r="I19" s="35" t="n"/>
      <c r="J19" s="35" t="n"/>
      <c r="K19" s="35" t="n"/>
      <c r="L19" s="35" t="n"/>
    </row>
    <row r="20">
      <c r="A20" s="35" t="n"/>
      <c r="B20" s="35" t="n"/>
      <c r="C20" s="35" t="n"/>
      <c r="D20" s="35" t="n"/>
      <c r="E20" s="35" t="n"/>
      <c r="F20" s="35" t="n"/>
      <c r="G20" s="36">
        <f>IFERROR(IF(F20="","",F20*VLOOKUP(E20,FX_Rates.$A$6:$B$11,2,0)),0)</f>
        <v/>
      </c>
      <c r="H20" s="35" t="n"/>
      <c r="I20" s="35" t="n"/>
      <c r="J20" s="35" t="n"/>
      <c r="K20" s="35" t="n"/>
      <c r="L20" s="35" t="n"/>
    </row>
    <row r="21">
      <c r="A21" s="35" t="n"/>
      <c r="B21" s="35" t="n"/>
      <c r="C21" s="35" t="n"/>
      <c r="D21" s="35" t="n"/>
      <c r="E21" s="35" t="n"/>
      <c r="F21" s="35" t="n"/>
      <c r="G21" s="36">
        <f>IFERROR(IF(F21="","",F21*VLOOKUP(E21,FX_Rates.$A$6:$B$11,2,0)),0)</f>
        <v/>
      </c>
      <c r="H21" s="35" t="n"/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6">
        <f>IFERROR(IF(F22="","",F22*VLOOKUP(E22,FX_Rates.$A$6:$B$11,2,0)),0)</f>
        <v/>
      </c>
      <c r="H22" s="35" t="n"/>
      <c r="I22" s="35" t="n"/>
      <c r="J22" s="35" t="n"/>
      <c r="K22" s="35" t="n"/>
      <c r="L22" s="35" t="n"/>
    </row>
    <row r="23">
      <c r="A23" s="35" t="n"/>
      <c r="B23" s="35" t="n"/>
      <c r="C23" s="35" t="n"/>
      <c r="D23" s="35" t="n"/>
      <c r="E23" s="35" t="n"/>
      <c r="F23" s="35" t="n"/>
      <c r="G23" s="36">
        <f>IFERROR(IF(F23="","",F23*VLOOKUP(E23,FX_Rates.$A$6:$B$11,2,0)),0)</f>
        <v/>
      </c>
      <c r="H23" s="35" t="n"/>
      <c r="I23" s="35" t="n"/>
      <c r="J23" s="35" t="n"/>
      <c r="K23" s="35" t="n"/>
      <c r="L23" s="35" t="n"/>
    </row>
    <row r="24">
      <c r="A24" s="35" t="n"/>
      <c r="B24" s="35" t="n"/>
      <c r="C24" s="35" t="n"/>
      <c r="D24" s="35" t="n"/>
      <c r="E24" s="35" t="n"/>
      <c r="F24" s="35" t="n"/>
      <c r="G24" s="36">
        <f>IFERROR(IF(F24="","",F24*VLOOKUP(E24,FX_Rates.$A$6:$B$11,2,0)),0)</f>
        <v/>
      </c>
      <c r="H24" s="35" t="n"/>
      <c r="I24" s="35" t="n"/>
      <c r="J24" s="35" t="n"/>
      <c r="K24" s="35" t="n"/>
      <c r="L24" s="35" t="n"/>
    </row>
    <row r="25">
      <c r="A25" s="35" t="n"/>
      <c r="B25" s="35" t="n"/>
      <c r="C25" s="35" t="n"/>
      <c r="D25" s="35" t="n"/>
      <c r="E25" s="35" t="n"/>
      <c r="F25" s="35" t="n"/>
      <c r="G25" s="36">
        <f>IFERROR(IF(F25="","",F25*VLOOKUP(E25,FX_Rates.$A$6:$B$11,2,0)),0)</f>
        <v/>
      </c>
      <c r="H25" s="35" t="n"/>
      <c r="I25" s="35" t="n"/>
      <c r="J25" s="35" t="n"/>
      <c r="K25" s="35" t="n"/>
      <c r="L25" s="35" t="n"/>
    </row>
    <row r="26">
      <c r="A26" s="35" t="n"/>
      <c r="B26" s="35" t="n"/>
      <c r="C26" s="35" t="n"/>
      <c r="D26" s="35" t="n"/>
      <c r="E26" s="35" t="n"/>
      <c r="F26" s="35" t="n"/>
      <c r="G26" s="36">
        <f>IFERROR(IF(F26="","",F26*VLOOKUP(E26,FX_Rates.$A$6:$B$11,2,0)),0)</f>
        <v/>
      </c>
      <c r="H26" s="35" t="n"/>
      <c r="I26" s="35" t="n"/>
      <c r="J26" s="35" t="n"/>
      <c r="K26" s="35" t="n"/>
      <c r="L26" s="35" t="n"/>
    </row>
    <row r="27">
      <c r="A27" s="35" t="n"/>
      <c r="B27" s="35" t="n"/>
      <c r="C27" s="35" t="n"/>
      <c r="D27" s="35" t="n"/>
      <c r="E27" s="35" t="n"/>
      <c r="F27" s="35" t="n"/>
      <c r="G27" s="36">
        <f>IFERROR(IF(F27="","",F27*VLOOKUP(E27,FX_Rates.$A$6:$B$11,2,0)),0)</f>
        <v/>
      </c>
      <c r="H27" s="35" t="n"/>
      <c r="I27" s="35" t="n"/>
      <c r="J27" s="35" t="n"/>
      <c r="K27" s="35" t="n"/>
      <c r="L27" s="35" t="n"/>
    </row>
    <row r="28">
      <c r="A28" s="35" t="n"/>
      <c r="B28" s="35" t="n"/>
      <c r="C28" s="35" t="n"/>
      <c r="D28" s="35" t="n"/>
      <c r="E28" s="35" t="n"/>
      <c r="F28" s="35" t="n"/>
      <c r="G28" s="36">
        <f>IFERROR(IF(F28="","",F28*VLOOKUP(E28,FX_Rates.$A$6:$B$11,2,0)),0)</f>
        <v/>
      </c>
      <c r="H28" s="35" t="n"/>
      <c r="I28" s="35" t="n"/>
      <c r="J28" s="35" t="n"/>
      <c r="K28" s="35" t="n"/>
      <c r="L28" s="35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30" customWidth="1" min="4" max="4"/>
    <col width="12" customWidth="1" min="5" max="5"/>
    <col width="15" customWidth="1" min="6" max="6"/>
    <col width="15" customWidth="1" min="7" max="7"/>
    <col width="12" customWidth="1" min="8" max="8"/>
    <col width="15" customWidth="1" min="9" max="9"/>
    <col width="12" customWidth="1" min="10" max="10"/>
    <col width="12" customWidth="1" min="11" max="11"/>
    <col width="25" customWidth="1" min="12" max="12"/>
  </cols>
  <sheetData>
    <row r="1" ht="35" customHeight="1">
      <c r="A1" s="1" t="inlineStr">
        <is>
          <t>SOURCE DATA - OPERATING EXPENDITURES (OPeX)</t>
        </is>
      </c>
    </row>
    <row r="3">
      <c r="A3" s="6" t="inlineStr">
        <is>
          <t>OPeX ID</t>
        </is>
      </c>
      <c r="B3" s="6" t="inlineStr">
        <is>
          <t>Vendor/Payee</t>
        </is>
      </c>
      <c r="C3" s="6" t="inlineStr">
        <is>
          <t>Category</t>
        </is>
      </c>
      <c r="D3" s="6" t="inlineStr">
        <is>
          <t>Description</t>
        </is>
      </c>
      <c r="E3" s="6" t="inlineStr">
        <is>
          <t>Original CCY</t>
        </is>
      </c>
      <c r="F3" s="6" t="inlineStr">
        <is>
          <t>Amount (CCY)</t>
        </is>
      </c>
      <c r="G3" s="6" t="inlineStr">
        <is>
          <t>Amount (SAR)</t>
        </is>
      </c>
      <c r="H3" s="6" t="inlineStr">
        <is>
          <t>Due Date</t>
        </is>
      </c>
      <c r="I3" s="6" t="inlineStr">
        <is>
          <t>Payment Type</t>
        </is>
      </c>
      <c r="J3" s="6" t="inlineStr">
        <is>
          <t>Frequency</t>
        </is>
      </c>
      <c r="K3" s="6" t="inlineStr">
        <is>
          <t>Status</t>
        </is>
      </c>
      <c r="L3" s="6" t="inlineStr">
        <is>
          <t>Notes</t>
        </is>
      </c>
    </row>
    <row r="4">
      <c r="A4" s="37" t="inlineStr">
        <is>
          <t>OPX-001</t>
        </is>
      </c>
      <c r="B4" s="37" t="inlineStr">
        <is>
          <t>Saudi Electricity Co</t>
        </is>
      </c>
      <c r="C4" s="37" t="inlineStr">
        <is>
          <t>Utilities</t>
        </is>
      </c>
      <c r="D4" s="37" t="inlineStr">
        <is>
          <t>Monthly Electricity</t>
        </is>
      </c>
      <c r="E4" s="37" t="inlineStr">
        <is>
          <t>SAR</t>
        </is>
      </c>
      <c r="F4" s="30" t="n">
        <v>45000</v>
      </c>
      <c r="G4" s="30">
        <f>IFERROR(F4*VLOOKUP(E4,FX_Rates.$A$6:$B$11,2,0),0)</f>
        <v/>
      </c>
      <c r="H4" s="89" t="n">
        <v>45641</v>
      </c>
      <c r="I4" s="37" t="inlineStr">
        <is>
          <t>Recurring</t>
        </is>
      </c>
      <c r="J4" s="37" t="inlineStr">
        <is>
          <t>Monthly</t>
        </is>
      </c>
      <c r="K4" s="37" t="inlineStr">
        <is>
          <t>PENDING</t>
        </is>
      </c>
      <c r="L4" s="37" t="inlineStr">
        <is>
          <t>HQ Building</t>
        </is>
      </c>
    </row>
    <row r="5">
      <c r="A5" s="8" t="inlineStr">
        <is>
          <t>OPX-002</t>
        </is>
      </c>
      <c r="B5" s="8" t="inlineStr">
        <is>
          <t>Saudi Telecom</t>
        </is>
      </c>
      <c r="C5" s="8" t="inlineStr">
        <is>
          <t>Telecom</t>
        </is>
      </c>
      <c r="D5" s="8" t="inlineStr">
        <is>
          <t>Internet &amp; Phone Services</t>
        </is>
      </c>
      <c r="E5" s="8" t="inlineStr">
        <is>
          <t>SAR</t>
        </is>
      </c>
      <c r="F5" s="33" t="n">
        <v>15000</v>
      </c>
      <c r="G5" s="33">
        <f>IFERROR(F5*VLOOKUP(E5,FX_Rates.$A$6:$B$11,2,0),0)</f>
        <v/>
      </c>
      <c r="H5" s="90" t="n">
        <v>45646</v>
      </c>
      <c r="I5" s="8" t="inlineStr">
        <is>
          <t>Recurring</t>
        </is>
      </c>
      <c r="J5" s="8" t="inlineStr">
        <is>
          <t>Monthly</t>
        </is>
      </c>
      <c r="K5" s="8" t="inlineStr">
        <is>
          <t>SCHEDULED</t>
        </is>
      </c>
      <c r="L5" s="8" t="inlineStr"/>
    </row>
    <row r="6">
      <c r="A6" s="37" t="inlineStr">
        <is>
          <t>OPX-003</t>
        </is>
      </c>
      <c r="B6" s="37" t="inlineStr">
        <is>
          <t>Office Rent LLC</t>
        </is>
      </c>
      <c r="C6" s="37" t="inlineStr">
        <is>
          <t>Rent</t>
        </is>
      </c>
      <c r="D6" s="37" t="inlineStr">
        <is>
          <t>Office Space Rental</t>
        </is>
      </c>
      <c r="E6" s="37" t="inlineStr">
        <is>
          <t>SAR</t>
        </is>
      </c>
      <c r="F6" s="30" t="n">
        <v>120000</v>
      </c>
      <c r="G6" s="30">
        <f>IFERROR(F6*VLOOKUP(E6,FX_Rates.$A$6:$B$11,2,0),0)</f>
        <v/>
      </c>
      <c r="H6" s="89" t="n">
        <v>45651</v>
      </c>
      <c r="I6" s="37" t="inlineStr">
        <is>
          <t>Recurring</t>
        </is>
      </c>
      <c r="J6" s="37" t="inlineStr">
        <is>
          <t>Monthly</t>
        </is>
      </c>
      <c r="K6" s="37" t="inlineStr">
        <is>
          <t>SCHEDULED</t>
        </is>
      </c>
      <c r="L6" s="37" t="inlineStr">
        <is>
          <t>Main Office</t>
        </is>
      </c>
    </row>
    <row r="7">
      <c r="A7" s="8" t="inlineStr">
        <is>
          <t>OPX-004</t>
        </is>
      </c>
      <c r="B7" s="8" t="inlineStr">
        <is>
          <t>Insurance Corp</t>
        </is>
      </c>
      <c r="C7" s="8" t="inlineStr">
        <is>
          <t>Insurance</t>
        </is>
      </c>
      <c r="D7" s="8" t="inlineStr">
        <is>
          <t>Property Insurance Premium</t>
        </is>
      </c>
      <c r="E7" s="8" t="inlineStr">
        <is>
          <t>SAR</t>
        </is>
      </c>
      <c r="F7" s="33" t="n">
        <v>85000</v>
      </c>
      <c r="G7" s="33">
        <f>IFERROR(F7*VLOOKUP(E7,FX_Rates.$A$6:$B$11,2,0),0)</f>
        <v/>
      </c>
      <c r="H7" s="90" t="n">
        <v>45658</v>
      </c>
      <c r="I7" s="8" t="inlineStr">
        <is>
          <t>Recurring</t>
        </is>
      </c>
      <c r="J7" s="8" t="inlineStr">
        <is>
          <t>Quarterly</t>
        </is>
      </c>
      <c r="K7" s="8" t="inlineStr">
        <is>
          <t>PENDING</t>
        </is>
      </c>
      <c r="L7" s="8" t="inlineStr">
        <is>
          <t>Q1 Payment</t>
        </is>
      </c>
    </row>
    <row r="8">
      <c r="A8" s="37" t="inlineStr">
        <is>
          <t>OPX-005</t>
        </is>
      </c>
      <c r="B8" s="37" t="inlineStr">
        <is>
          <t>Security Services</t>
        </is>
      </c>
      <c r="C8" s="37" t="inlineStr">
        <is>
          <t>Security</t>
        </is>
      </c>
      <c r="D8" s="37" t="inlineStr">
        <is>
          <t>Building Security</t>
        </is>
      </c>
      <c r="E8" s="37" t="inlineStr">
        <is>
          <t>SAR</t>
        </is>
      </c>
      <c r="F8" s="30" t="n">
        <v>35000</v>
      </c>
      <c r="G8" s="30">
        <f>IFERROR(F8*VLOOKUP(E8,FX_Rates.$A$6:$B$11,2,0),0)</f>
        <v/>
      </c>
      <c r="H8" s="89" t="n">
        <v>45662</v>
      </c>
      <c r="I8" s="37" t="inlineStr">
        <is>
          <t>Recurring</t>
        </is>
      </c>
      <c r="J8" s="37" t="inlineStr">
        <is>
          <t>Monthly</t>
        </is>
      </c>
      <c r="K8" s="37" t="inlineStr">
        <is>
          <t>SCHEDULED</t>
        </is>
      </c>
      <c r="L8" s="37" t="inlineStr"/>
    </row>
    <row r="9">
      <c r="A9" s="35" t="n"/>
      <c r="B9" s="35" t="n"/>
      <c r="C9" s="35" t="n"/>
      <c r="D9" s="35" t="n"/>
      <c r="E9" s="35" t="n"/>
      <c r="F9" s="35" t="n"/>
      <c r="G9" s="36">
        <f>IFERROR(IF(F9="","",F9*VLOOKUP(E9,FX_Rates.$A$6:$B$11,2,0)),0)</f>
        <v/>
      </c>
      <c r="H9" s="35" t="n"/>
      <c r="I9" s="35" t="n"/>
      <c r="J9" s="35" t="n"/>
      <c r="K9" s="35" t="n"/>
      <c r="L9" s="35" t="n"/>
    </row>
    <row r="10">
      <c r="A10" s="35" t="n"/>
      <c r="B10" s="35" t="n"/>
      <c r="C10" s="35" t="n"/>
      <c r="D10" s="35" t="n"/>
      <c r="E10" s="35" t="n"/>
      <c r="F10" s="35" t="n"/>
      <c r="G10" s="36">
        <f>IFERROR(IF(F10="","",F10*VLOOKUP(E10,FX_Rates.$A$6:$B$11,2,0)),0)</f>
        <v/>
      </c>
      <c r="H10" s="35" t="n"/>
      <c r="I10" s="35" t="n"/>
      <c r="J10" s="35" t="n"/>
      <c r="K10" s="35" t="n"/>
      <c r="L10" s="35" t="n"/>
    </row>
    <row r="11">
      <c r="A11" s="35" t="n"/>
      <c r="B11" s="35" t="n"/>
      <c r="C11" s="35" t="n"/>
      <c r="D11" s="35" t="n"/>
      <c r="E11" s="35" t="n"/>
      <c r="F11" s="35" t="n"/>
      <c r="G11" s="36">
        <f>IFERROR(IF(F11="","",F11*VLOOKUP(E11,FX_Rates.$A$6:$B$11,2,0)),0)</f>
        <v/>
      </c>
      <c r="H11" s="35" t="n"/>
      <c r="I11" s="35" t="n"/>
      <c r="J11" s="35" t="n"/>
      <c r="K11" s="35" t="n"/>
      <c r="L11" s="35" t="n"/>
    </row>
    <row r="12">
      <c r="A12" s="35" t="n"/>
      <c r="B12" s="35" t="n"/>
      <c r="C12" s="35" t="n"/>
      <c r="D12" s="35" t="n"/>
      <c r="E12" s="35" t="n"/>
      <c r="F12" s="35" t="n"/>
      <c r="G12" s="36">
        <f>IFERROR(IF(F12="","",F12*VLOOKUP(E12,FX_Rates.$A$6:$B$11,2,0)),0)</f>
        <v/>
      </c>
      <c r="H12" s="35" t="n"/>
      <c r="I12" s="35" t="n"/>
      <c r="J12" s="35" t="n"/>
      <c r="K12" s="35" t="n"/>
      <c r="L12" s="35" t="n"/>
    </row>
    <row r="13">
      <c r="A13" s="35" t="n"/>
      <c r="B13" s="35" t="n"/>
      <c r="C13" s="35" t="n"/>
      <c r="D13" s="35" t="n"/>
      <c r="E13" s="35" t="n"/>
      <c r="F13" s="35" t="n"/>
      <c r="G13" s="36">
        <f>IFERROR(IF(F13="","",F13*VLOOKUP(E13,FX_Rates.$A$6:$B$11,2,0)),0)</f>
        <v/>
      </c>
      <c r="H13" s="35" t="n"/>
      <c r="I13" s="35" t="n"/>
      <c r="J13" s="35" t="n"/>
      <c r="K13" s="35" t="n"/>
      <c r="L13" s="35" t="n"/>
    </row>
    <row r="14">
      <c r="A14" s="35" t="n"/>
      <c r="B14" s="35" t="n"/>
      <c r="C14" s="35" t="n"/>
      <c r="D14" s="35" t="n"/>
      <c r="E14" s="35" t="n"/>
      <c r="F14" s="35" t="n"/>
      <c r="G14" s="36">
        <f>IFERROR(IF(F14="","",F14*VLOOKUP(E14,FX_Rates.$A$6:$B$11,2,0)),0)</f>
        <v/>
      </c>
      <c r="H14" s="35" t="n"/>
      <c r="I14" s="35" t="n"/>
      <c r="J14" s="35" t="n"/>
      <c r="K14" s="35" t="n"/>
      <c r="L14" s="35" t="n"/>
    </row>
    <row r="15">
      <c r="A15" s="35" t="n"/>
      <c r="B15" s="35" t="n"/>
      <c r="C15" s="35" t="n"/>
      <c r="D15" s="35" t="n"/>
      <c r="E15" s="35" t="n"/>
      <c r="F15" s="35" t="n"/>
      <c r="G15" s="36">
        <f>IFERROR(IF(F15="","",F15*VLOOKUP(E15,FX_Rates.$A$6:$B$11,2,0)),0)</f>
        <v/>
      </c>
      <c r="H15" s="35" t="n"/>
      <c r="I15" s="35" t="n"/>
      <c r="J15" s="35" t="n"/>
      <c r="K15" s="35" t="n"/>
      <c r="L15" s="35" t="n"/>
    </row>
    <row r="16">
      <c r="A16" s="35" t="n"/>
      <c r="B16" s="35" t="n"/>
      <c r="C16" s="35" t="n"/>
      <c r="D16" s="35" t="n"/>
      <c r="E16" s="35" t="n"/>
      <c r="F16" s="35" t="n"/>
      <c r="G16" s="36">
        <f>IFERROR(IF(F16="","",F16*VLOOKUP(E16,FX_Rates.$A$6:$B$11,2,0)),0)</f>
        <v/>
      </c>
      <c r="H16" s="35" t="n"/>
      <c r="I16" s="35" t="n"/>
      <c r="J16" s="35" t="n"/>
      <c r="K16" s="35" t="n"/>
      <c r="L16" s="35" t="n"/>
    </row>
    <row r="17">
      <c r="A17" s="35" t="n"/>
      <c r="B17" s="35" t="n"/>
      <c r="C17" s="35" t="n"/>
      <c r="D17" s="35" t="n"/>
      <c r="E17" s="35" t="n"/>
      <c r="F17" s="35" t="n"/>
      <c r="G17" s="36">
        <f>IFERROR(IF(F17="","",F17*VLOOKUP(E17,FX_Rates.$A$6:$B$11,2,0)),0)</f>
        <v/>
      </c>
      <c r="H17" s="35" t="n"/>
      <c r="I17" s="35" t="n"/>
      <c r="J17" s="35" t="n"/>
      <c r="K17" s="35" t="n"/>
      <c r="L17" s="35" t="n"/>
    </row>
    <row r="18">
      <c r="A18" s="35" t="n"/>
      <c r="B18" s="35" t="n"/>
      <c r="C18" s="35" t="n"/>
      <c r="D18" s="35" t="n"/>
      <c r="E18" s="35" t="n"/>
      <c r="F18" s="35" t="n"/>
      <c r="G18" s="36">
        <f>IFERROR(IF(F18="","",F18*VLOOKUP(E18,FX_Rates.$A$6:$B$11,2,0)),0)</f>
        <v/>
      </c>
      <c r="H18" s="35" t="n"/>
      <c r="I18" s="35" t="n"/>
      <c r="J18" s="35" t="n"/>
      <c r="K18" s="35" t="n"/>
      <c r="L18" s="35" t="n"/>
    </row>
    <row r="19">
      <c r="A19" s="35" t="n"/>
      <c r="B19" s="35" t="n"/>
      <c r="C19" s="35" t="n"/>
      <c r="D19" s="35" t="n"/>
      <c r="E19" s="35" t="n"/>
      <c r="F19" s="35" t="n"/>
      <c r="G19" s="36">
        <f>IFERROR(IF(F19="","",F19*VLOOKUP(E19,FX_Rates.$A$6:$B$11,2,0)),0)</f>
        <v/>
      </c>
      <c r="H19" s="35" t="n"/>
      <c r="I19" s="35" t="n"/>
      <c r="J19" s="35" t="n"/>
      <c r="K19" s="35" t="n"/>
      <c r="L19" s="35" t="n"/>
    </row>
    <row r="20">
      <c r="A20" s="35" t="n"/>
      <c r="B20" s="35" t="n"/>
      <c r="C20" s="35" t="n"/>
      <c r="D20" s="35" t="n"/>
      <c r="E20" s="35" t="n"/>
      <c r="F20" s="35" t="n"/>
      <c r="G20" s="36">
        <f>IFERROR(IF(F20="","",F20*VLOOKUP(E20,FX_Rates.$A$6:$B$11,2,0)),0)</f>
        <v/>
      </c>
      <c r="H20" s="35" t="n"/>
      <c r="I20" s="35" t="n"/>
      <c r="J20" s="35" t="n"/>
      <c r="K20" s="35" t="n"/>
      <c r="L20" s="35" t="n"/>
    </row>
    <row r="21">
      <c r="A21" s="35" t="n"/>
      <c r="B21" s="35" t="n"/>
      <c r="C21" s="35" t="n"/>
      <c r="D21" s="35" t="n"/>
      <c r="E21" s="35" t="n"/>
      <c r="F21" s="35" t="n"/>
      <c r="G21" s="36">
        <f>IFERROR(IF(F21="","",F21*VLOOKUP(E21,FX_Rates.$A$6:$B$11,2,0)),0)</f>
        <v/>
      </c>
      <c r="H21" s="35" t="n"/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6">
        <f>IFERROR(IF(F22="","",F22*VLOOKUP(E22,FX_Rates.$A$6:$B$11,2,0)),0)</f>
        <v/>
      </c>
      <c r="H22" s="35" t="n"/>
      <c r="I22" s="35" t="n"/>
      <c r="J22" s="35" t="n"/>
      <c r="K22" s="35" t="n"/>
      <c r="L22" s="35" t="n"/>
    </row>
    <row r="23">
      <c r="A23" s="35" t="n"/>
      <c r="B23" s="35" t="n"/>
      <c r="C23" s="35" t="n"/>
      <c r="D23" s="35" t="n"/>
      <c r="E23" s="35" t="n"/>
      <c r="F23" s="35" t="n"/>
      <c r="G23" s="36">
        <f>IFERROR(IF(F23="","",F23*VLOOKUP(E23,FX_Rates.$A$6:$B$11,2,0)),0)</f>
        <v/>
      </c>
      <c r="H23" s="35" t="n"/>
      <c r="I23" s="35" t="n"/>
      <c r="J23" s="35" t="n"/>
      <c r="K23" s="35" t="n"/>
      <c r="L23" s="35" t="n"/>
    </row>
    <row r="24">
      <c r="A24" s="35" t="n"/>
      <c r="B24" s="35" t="n"/>
      <c r="C24" s="35" t="n"/>
      <c r="D24" s="35" t="n"/>
      <c r="E24" s="35" t="n"/>
      <c r="F24" s="35" t="n"/>
      <c r="G24" s="36">
        <f>IFERROR(IF(F24="","",F24*VLOOKUP(E24,FX_Rates.$A$6:$B$11,2,0)),0)</f>
        <v/>
      </c>
      <c r="H24" s="35" t="n"/>
      <c r="I24" s="35" t="n"/>
      <c r="J24" s="35" t="n"/>
      <c r="K24" s="35" t="n"/>
      <c r="L24" s="35" t="n"/>
    </row>
    <row r="25">
      <c r="A25" s="35" t="n"/>
      <c r="B25" s="35" t="n"/>
      <c r="C25" s="35" t="n"/>
      <c r="D25" s="35" t="n"/>
      <c r="E25" s="35" t="n"/>
      <c r="F25" s="35" t="n"/>
      <c r="G25" s="36">
        <f>IFERROR(IF(F25="","",F25*VLOOKUP(E25,FX_Rates.$A$6:$B$11,2,0)),0)</f>
        <v/>
      </c>
      <c r="H25" s="35" t="n"/>
      <c r="I25" s="35" t="n"/>
      <c r="J25" s="35" t="n"/>
      <c r="K25" s="35" t="n"/>
      <c r="L25" s="35" t="n"/>
    </row>
    <row r="26">
      <c r="A26" s="35" t="n"/>
      <c r="B26" s="35" t="n"/>
      <c r="C26" s="35" t="n"/>
      <c r="D26" s="35" t="n"/>
      <c r="E26" s="35" t="n"/>
      <c r="F26" s="35" t="n"/>
      <c r="G26" s="36">
        <f>IFERROR(IF(F26="","",F26*VLOOKUP(E26,FX_Rates.$A$6:$B$11,2,0)),0)</f>
        <v/>
      </c>
      <c r="H26" s="35" t="n"/>
      <c r="I26" s="35" t="n"/>
      <c r="J26" s="35" t="n"/>
      <c r="K26" s="35" t="n"/>
      <c r="L26" s="35" t="n"/>
    </row>
    <row r="27">
      <c r="A27" s="35" t="n"/>
      <c r="B27" s="35" t="n"/>
      <c r="C27" s="35" t="n"/>
      <c r="D27" s="35" t="n"/>
      <c r="E27" s="35" t="n"/>
      <c r="F27" s="35" t="n"/>
      <c r="G27" s="36">
        <f>IFERROR(IF(F27="","",F27*VLOOKUP(E27,FX_Rates.$A$6:$B$11,2,0)),0)</f>
        <v/>
      </c>
      <c r="H27" s="35" t="n"/>
      <c r="I27" s="35" t="n"/>
      <c r="J27" s="35" t="n"/>
      <c r="K27" s="35" t="n"/>
      <c r="L27" s="35" t="n"/>
    </row>
    <row r="28">
      <c r="A28" s="35" t="n"/>
      <c r="B28" s="35" t="n"/>
      <c r="C28" s="35" t="n"/>
      <c r="D28" s="35" t="n"/>
      <c r="E28" s="35" t="n"/>
      <c r="F28" s="35" t="n"/>
      <c r="G28" s="36">
        <f>IFERROR(IF(F28="","",F28*VLOOKUP(E28,FX_Rates.$A$6:$B$11,2,0)),0)</f>
        <v/>
      </c>
      <c r="H28" s="35" t="n"/>
      <c r="I28" s="35" t="n"/>
      <c r="J28" s="35" t="n"/>
      <c r="K28" s="35" t="n"/>
      <c r="L28" s="35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8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5" customWidth="1" min="10" max="10"/>
    <col width="12" customWidth="1" min="11" max="11"/>
    <col width="15" customWidth="1" min="12" max="12"/>
  </cols>
  <sheetData>
    <row r="1" ht="35" customHeight="1">
      <c r="A1" s="1" t="inlineStr">
        <is>
          <t>SOURCE DATA - CAPITAL EXPENDITURES (CAPEX)</t>
        </is>
      </c>
    </row>
    <row r="3">
      <c r="A3" s="6" t="inlineStr">
        <is>
          <t>CAPEX ID</t>
        </is>
      </c>
      <c r="B3" s="6" t="inlineStr">
        <is>
          <t>Project Name</t>
        </is>
      </c>
      <c r="C3" s="6" t="inlineStr">
        <is>
          <t>Vendor</t>
        </is>
      </c>
      <c r="D3" s="6" t="inlineStr">
        <is>
          <t>Description</t>
        </is>
      </c>
      <c r="E3" s="6" t="inlineStr">
        <is>
          <t>Original CCY</t>
        </is>
      </c>
      <c r="F3" s="6" t="inlineStr">
        <is>
          <t>Amount (CCY)</t>
        </is>
      </c>
      <c r="G3" s="6" t="inlineStr">
        <is>
          <t>Amount (SAR)</t>
        </is>
      </c>
      <c r="H3" s="6" t="inlineStr">
        <is>
          <t>Payment Date</t>
        </is>
      </c>
      <c r="I3" s="6" t="inlineStr">
        <is>
          <t>Project Phase</t>
        </is>
      </c>
      <c r="J3" s="6" t="inlineStr">
        <is>
          <t>Budget Code</t>
        </is>
      </c>
      <c r="K3" s="6" t="inlineStr">
        <is>
          <t>Status</t>
        </is>
      </c>
      <c r="L3" s="6" t="inlineStr">
        <is>
          <t>Approval Ref</t>
        </is>
      </c>
    </row>
    <row r="4">
      <c r="A4" s="37" t="inlineStr">
        <is>
          <t>CAP-001</t>
        </is>
      </c>
      <c r="B4" s="37" t="inlineStr">
        <is>
          <t>IT Infrastructure</t>
        </is>
      </c>
      <c r="C4" s="37" t="inlineStr">
        <is>
          <t>Dell Technologies</t>
        </is>
      </c>
      <c r="D4" s="37" t="inlineStr">
        <is>
          <t>Server Equipment</t>
        </is>
      </c>
      <c r="E4" s="37" t="inlineStr">
        <is>
          <t>USD</t>
        </is>
      </c>
      <c r="F4" s="30" t="n">
        <v>250000</v>
      </c>
      <c r="G4" s="30">
        <f>IFERROR(F4*VLOOKUP(E4,FX_Rates.$A$6:$B$11,2,0),0)</f>
        <v/>
      </c>
      <c r="H4" s="89" t="n">
        <v>45644</v>
      </c>
      <c r="I4" s="37" t="inlineStr">
        <is>
          <t>Phase 1</t>
        </is>
      </c>
      <c r="J4" s="37" t="inlineStr">
        <is>
          <t>CAPEX-IT-001</t>
        </is>
      </c>
      <c r="K4" s="37" t="inlineStr">
        <is>
          <t>PENDING</t>
        </is>
      </c>
      <c r="L4" s="37" t="inlineStr">
        <is>
          <t>APR-2024-156</t>
        </is>
      </c>
    </row>
    <row r="5">
      <c r="A5" s="8" t="inlineStr">
        <is>
          <t>CAP-002</t>
        </is>
      </c>
      <c r="B5" s="8" t="inlineStr">
        <is>
          <t>Office Expansion</t>
        </is>
      </c>
      <c r="C5" s="8" t="inlineStr">
        <is>
          <t>Saudi Contractors</t>
        </is>
      </c>
      <c r="D5" s="8" t="inlineStr">
        <is>
          <t>Building Renovation</t>
        </is>
      </c>
      <c r="E5" s="8" t="inlineStr">
        <is>
          <t>SAR</t>
        </is>
      </c>
      <c r="F5" s="33" t="n">
        <v>1500000</v>
      </c>
      <c r="G5" s="33">
        <f>IFERROR(F5*VLOOKUP(E5,FX_Rates.$A$6:$B$11,2,0),0)</f>
        <v/>
      </c>
      <c r="H5" s="90" t="n">
        <v>45654</v>
      </c>
      <c r="I5" s="8" t="inlineStr">
        <is>
          <t>Phase 2</t>
        </is>
      </c>
      <c r="J5" s="8" t="inlineStr">
        <is>
          <t>CAPEX-FAC-002</t>
        </is>
      </c>
      <c r="K5" s="8" t="inlineStr">
        <is>
          <t>SCHEDULED</t>
        </is>
      </c>
      <c r="L5" s="8" t="inlineStr">
        <is>
          <t>APR-2024-178</t>
        </is>
      </c>
    </row>
    <row r="6">
      <c r="A6" s="37" t="inlineStr">
        <is>
          <t>CAP-003</t>
        </is>
      </c>
      <c r="B6" s="37" t="inlineStr">
        <is>
          <t>Vehicle Fleet</t>
        </is>
      </c>
      <c r="C6" s="37" t="inlineStr">
        <is>
          <t>Toyota KSA</t>
        </is>
      </c>
      <c r="D6" s="37" t="inlineStr">
        <is>
          <t>Fleet Vehicles Purchase</t>
        </is>
      </c>
      <c r="E6" s="37" t="inlineStr">
        <is>
          <t>SAR</t>
        </is>
      </c>
      <c r="F6" s="30" t="n">
        <v>450000</v>
      </c>
      <c r="G6" s="30">
        <f>IFERROR(F6*VLOOKUP(E6,FX_Rates.$A$6:$B$11,2,0),0)</f>
        <v/>
      </c>
      <c r="H6" s="89" t="n">
        <v>45672</v>
      </c>
      <c r="I6" s="37" t="inlineStr">
        <is>
          <t>Phase 1</t>
        </is>
      </c>
      <c r="J6" s="37" t="inlineStr">
        <is>
          <t>CAPEX-VEH-001</t>
        </is>
      </c>
      <c r="K6" s="37" t="inlineStr">
        <is>
          <t>PENDING</t>
        </is>
      </c>
      <c r="L6" s="37" t="inlineStr">
        <is>
          <t>APR-2024-192</t>
        </is>
      </c>
    </row>
    <row r="7">
      <c r="A7" s="8" t="inlineStr">
        <is>
          <t>CAP-004</t>
        </is>
      </c>
      <c r="B7" s="8" t="inlineStr">
        <is>
          <t>Software License</t>
        </is>
      </c>
      <c r="C7" s="8" t="inlineStr">
        <is>
          <t>SAP SE</t>
        </is>
      </c>
      <c r="D7" s="8" t="inlineStr">
        <is>
          <t>ERP Implementation</t>
        </is>
      </c>
      <c r="E7" s="8" t="inlineStr">
        <is>
          <t>EUR</t>
        </is>
      </c>
      <c r="F7" s="33" t="n">
        <v>180000</v>
      </c>
      <c r="G7" s="33">
        <f>IFERROR(F7*VLOOKUP(E7,FX_Rates.$A$6:$B$11,2,0),0)</f>
        <v/>
      </c>
      <c r="H7" s="90" t="n">
        <v>45677</v>
      </c>
      <c r="I7" s="8" t="inlineStr">
        <is>
          <t>Phase 1</t>
        </is>
      </c>
      <c r="J7" s="8" t="inlineStr">
        <is>
          <t>CAPEX-IT-003</t>
        </is>
      </c>
      <c r="K7" s="8" t="inlineStr">
        <is>
          <t>SCHEDULED</t>
        </is>
      </c>
      <c r="L7" s="8" t="inlineStr">
        <is>
          <t>APR-2024-201</t>
        </is>
      </c>
    </row>
    <row r="8">
      <c r="A8" s="35" t="n"/>
      <c r="B8" s="35" t="n"/>
      <c r="C8" s="35" t="n"/>
      <c r="D8" s="35" t="n"/>
      <c r="E8" s="35" t="n"/>
      <c r="F8" s="35" t="n"/>
      <c r="G8" s="36">
        <f>IFERROR(IF(F8="","",F8*VLOOKUP(E8,FX_Rates.$A$6:$B$11,2,0)),0)</f>
        <v/>
      </c>
      <c r="H8" s="35" t="n"/>
      <c r="I8" s="35" t="n"/>
      <c r="J8" s="35" t="n"/>
      <c r="K8" s="35" t="n"/>
      <c r="L8" s="35" t="n"/>
    </row>
    <row r="9">
      <c r="A9" s="35" t="n"/>
      <c r="B9" s="35" t="n"/>
      <c r="C9" s="35" t="n"/>
      <c r="D9" s="35" t="n"/>
      <c r="E9" s="35" t="n"/>
      <c r="F9" s="35" t="n"/>
      <c r="G9" s="36">
        <f>IFERROR(IF(F9="","",F9*VLOOKUP(E9,FX_Rates.$A$6:$B$11,2,0)),0)</f>
        <v/>
      </c>
      <c r="H9" s="35" t="n"/>
      <c r="I9" s="35" t="n"/>
      <c r="J9" s="35" t="n"/>
      <c r="K9" s="35" t="n"/>
      <c r="L9" s="35" t="n"/>
    </row>
    <row r="10">
      <c r="A10" s="35" t="n"/>
      <c r="B10" s="35" t="n"/>
      <c r="C10" s="35" t="n"/>
      <c r="D10" s="35" t="n"/>
      <c r="E10" s="35" t="n"/>
      <c r="F10" s="35" t="n"/>
      <c r="G10" s="36">
        <f>IFERROR(IF(F10="","",F10*VLOOKUP(E10,FX_Rates.$A$6:$B$11,2,0)),0)</f>
        <v/>
      </c>
      <c r="H10" s="35" t="n"/>
      <c r="I10" s="35" t="n"/>
      <c r="J10" s="35" t="n"/>
      <c r="K10" s="35" t="n"/>
      <c r="L10" s="35" t="n"/>
    </row>
    <row r="11">
      <c r="A11" s="35" t="n"/>
      <c r="B11" s="35" t="n"/>
      <c r="C11" s="35" t="n"/>
      <c r="D11" s="35" t="n"/>
      <c r="E11" s="35" t="n"/>
      <c r="F11" s="35" t="n"/>
      <c r="G11" s="36">
        <f>IFERROR(IF(F11="","",F11*VLOOKUP(E11,FX_Rates.$A$6:$B$11,2,0)),0)</f>
        <v/>
      </c>
      <c r="H11" s="35" t="n"/>
      <c r="I11" s="35" t="n"/>
      <c r="J11" s="35" t="n"/>
      <c r="K11" s="35" t="n"/>
      <c r="L11" s="35" t="n"/>
    </row>
    <row r="12">
      <c r="A12" s="35" t="n"/>
      <c r="B12" s="35" t="n"/>
      <c r="C12" s="35" t="n"/>
      <c r="D12" s="35" t="n"/>
      <c r="E12" s="35" t="n"/>
      <c r="F12" s="35" t="n"/>
      <c r="G12" s="36">
        <f>IFERROR(IF(F12="","",F12*VLOOKUP(E12,FX_Rates.$A$6:$B$11,2,0)),0)</f>
        <v/>
      </c>
      <c r="H12" s="35" t="n"/>
      <c r="I12" s="35" t="n"/>
      <c r="J12" s="35" t="n"/>
      <c r="K12" s="35" t="n"/>
      <c r="L12" s="35" t="n"/>
    </row>
    <row r="13">
      <c r="A13" s="35" t="n"/>
      <c r="B13" s="35" t="n"/>
      <c r="C13" s="35" t="n"/>
      <c r="D13" s="35" t="n"/>
      <c r="E13" s="35" t="n"/>
      <c r="F13" s="35" t="n"/>
      <c r="G13" s="36">
        <f>IFERROR(IF(F13="","",F13*VLOOKUP(E13,FX_Rates.$A$6:$B$11,2,0)),0)</f>
        <v/>
      </c>
      <c r="H13" s="35" t="n"/>
      <c r="I13" s="35" t="n"/>
      <c r="J13" s="35" t="n"/>
      <c r="K13" s="35" t="n"/>
      <c r="L13" s="35" t="n"/>
    </row>
    <row r="14">
      <c r="A14" s="35" t="n"/>
      <c r="B14" s="35" t="n"/>
      <c r="C14" s="35" t="n"/>
      <c r="D14" s="35" t="n"/>
      <c r="E14" s="35" t="n"/>
      <c r="F14" s="35" t="n"/>
      <c r="G14" s="36">
        <f>IFERROR(IF(F14="","",F14*VLOOKUP(E14,FX_Rates.$A$6:$B$11,2,0)),0)</f>
        <v/>
      </c>
      <c r="H14" s="35" t="n"/>
      <c r="I14" s="35" t="n"/>
      <c r="J14" s="35" t="n"/>
      <c r="K14" s="35" t="n"/>
      <c r="L14" s="35" t="n"/>
    </row>
    <row r="15">
      <c r="A15" s="35" t="n"/>
      <c r="B15" s="35" t="n"/>
      <c r="C15" s="35" t="n"/>
      <c r="D15" s="35" t="n"/>
      <c r="E15" s="35" t="n"/>
      <c r="F15" s="35" t="n"/>
      <c r="G15" s="36">
        <f>IFERROR(IF(F15="","",F15*VLOOKUP(E15,FX_Rates.$A$6:$B$11,2,0)),0)</f>
        <v/>
      </c>
      <c r="H15" s="35" t="n"/>
      <c r="I15" s="35" t="n"/>
      <c r="J15" s="35" t="n"/>
      <c r="K15" s="35" t="n"/>
      <c r="L15" s="35" t="n"/>
    </row>
    <row r="16">
      <c r="A16" s="35" t="n"/>
      <c r="B16" s="35" t="n"/>
      <c r="C16" s="35" t="n"/>
      <c r="D16" s="35" t="n"/>
      <c r="E16" s="35" t="n"/>
      <c r="F16" s="35" t="n"/>
      <c r="G16" s="36">
        <f>IFERROR(IF(F16="","",F16*VLOOKUP(E16,FX_Rates.$A$6:$B$11,2,0)),0)</f>
        <v/>
      </c>
      <c r="H16" s="35" t="n"/>
      <c r="I16" s="35" t="n"/>
      <c r="J16" s="35" t="n"/>
      <c r="K16" s="35" t="n"/>
      <c r="L16" s="35" t="n"/>
    </row>
    <row r="17">
      <c r="A17" s="35" t="n"/>
      <c r="B17" s="35" t="n"/>
      <c r="C17" s="35" t="n"/>
      <c r="D17" s="35" t="n"/>
      <c r="E17" s="35" t="n"/>
      <c r="F17" s="35" t="n"/>
      <c r="G17" s="36">
        <f>IFERROR(IF(F17="","",F17*VLOOKUP(E17,FX_Rates.$A$6:$B$11,2,0)),0)</f>
        <v/>
      </c>
      <c r="H17" s="35" t="n"/>
      <c r="I17" s="35" t="n"/>
      <c r="J17" s="35" t="n"/>
      <c r="K17" s="35" t="n"/>
      <c r="L17" s="35" t="n"/>
    </row>
    <row r="18">
      <c r="A18" s="35" t="n"/>
      <c r="B18" s="35" t="n"/>
      <c r="C18" s="35" t="n"/>
      <c r="D18" s="35" t="n"/>
      <c r="E18" s="35" t="n"/>
      <c r="F18" s="35" t="n"/>
      <c r="G18" s="36">
        <f>IFERROR(IF(F18="","",F18*VLOOKUP(E18,FX_Rates.$A$6:$B$11,2,0)),0)</f>
        <v/>
      </c>
      <c r="H18" s="35" t="n"/>
      <c r="I18" s="35" t="n"/>
      <c r="J18" s="35" t="n"/>
      <c r="K18" s="35" t="n"/>
      <c r="L18" s="35" t="n"/>
    </row>
    <row r="19">
      <c r="A19" s="35" t="n"/>
      <c r="B19" s="35" t="n"/>
      <c r="C19" s="35" t="n"/>
      <c r="D19" s="35" t="n"/>
      <c r="E19" s="35" t="n"/>
      <c r="F19" s="35" t="n"/>
      <c r="G19" s="36">
        <f>IFERROR(IF(F19="","",F19*VLOOKUP(E19,FX_Rates.$A$6:$B$11,2,0)),0)</f>
        <v/>
      </c>
      <c r="H19" s="35" t="n"/>
      <c r="I19" s="35" t="n"/>
      <c r="J19" s="35" t="n"/>
      <c r="K19" s="35" t="n"/>
      <c r="L19" s="35" t="n"/>
    </row>
    <row r="20">
      <c r="A20" s="35" t="n"/>
      <c r="B20" s="35" t="n"/>
      <c r="C20" s="35" t="n"/>
      <c r="D20" s="35" t="n"/>
      <c r="E20" s="35" t="n"/>
      <c r="F20" s="35" t="n"/>
      <c r="G20" s="36">
        <f>IFERROR(IF(F20="","",F20*VLOOKUP(E20,FX_Rates.$A$6:$B$11,2,0)),0)</f>
        <v/>
      </c>
      <c r="H20" s="35" t="n"/>
      <c r="I20" s="35" t="n"/>
      <c r="J20" s="35" t="n"/>
      <c r="K20" s="35" t="n"/>
      <c r="L20" s="35" t="n"/>
    </row>
    <row r="21">
      <c r="A21" s="35" t="n"/>
      <c r="B21" s="35" t="n"/>
      <c r="C21" s="35" t="n"/>
      <c r="D21" s="35" t="n"/>
      <c r="E21" s="35" t="n"/>
      <c r="F21" s="35" t="n"/>
      <c r="G21" s="36">
        <f>IFERROR(IF(F21="","",F21*VLOOKUP(E21,FX_Rates.$A$6:$B$11,2,0)),0)</f>
        <v/>
      </c>
      <c r="H21" s="35" t="n"/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6">
        <f>IFERROR(IF(F22="","",F22*VLOOKUP(E22,FX_Rates.$A$6:$B$11,2,0)),0)</f>
        <v/>
      </c>
      <c r="H22" s="35" t="n"/>
      <c r="I22" s="35" t="n"/>
      <c r="J22" s="35" t="n"/>
      <c r="K22" s="35" t="n"/>
      <c r="L22" s="35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25" customWidth="1" min="12" max="12"/>
  </cols>
  <sheetData>
    <row r="1" ht="35" customHeight="1">
      <c r="A1" s="1" t="inlineStr">
        <is>
          <t>SOURCE DATA - HUMAN RESOURCES &amp; PAYROLL</t>
        </is>
      </c>
    </row>
    <row r="3">
      <c r="A3" s="6" t="inlineStr">
        <is>
          <t>HR ID</t>
        </is>
      </c>
      <c r="B3" s="6" t="inlineStr">
        <is>
          <t>Payment Type</t>
        </is>
      </c>
      <c r="C3" s="6" t="inlineStr">
        <is>
          <t>Department</t>
        </is>
      </c>
      <c r="D3" s="6" t="inlineStr">
        <is>
          <t>Description</t>
        </is>
      </c>
      <c r="E3" s="6" t="inlineStr">
        <is>
          <t>Original CCY</t>
        </is>
      </c>
      <c r="F3" s="6" t="inlineStr">
        <is>
          <t>Amount (CCY)</t>
        </is>
      </c>
      <c r="G3" s="6" t="inlineStr">
        <is>
          <t>Amount (SAR)</t>
        </is>
      </c>
      <c r="H3" s="6" t="inlineStr">
        <is>
          <t>Payment Date</t>
        </is>
      </c>
      <c r="I3" s="6" t="inlineStr">
        <is>
          <t>Pay Period</t>
        </is>
      </c>
      <c r="J3" s="6" t="inlineStr">
        <is>
          <t>Employee Count</t>
        </is>
      </c>
      <c r="K3" s="6" t="inlineStr">
        <is>
          <t>Status</t>
        </is>
      </c>
      <c r="L3" s="6" t="inlineStr">
        <is>
          <t>Notes</t>
        </is>
      </c>
    </row>
    <row r="4">
      <c r="A4" s="37" t="inlineStr">
        <is>
          <t>HR-001</t>
        </is>
      </c>
      <c r="B4" s="37" t="inlineStr">
        <is>
          <t>Salaries</t>
        </is>
      </c>
      <c r="C4" s="37" t="inlineStr">
        <is>
          <t>All Departments</t>
        </is>
      </c>
      <c r="D4" s="37" t="inlineStr">
        <is>
          <t>Monthly Salaries - Dec 2024</t>
        </is>
      </c>
      <c r="E4" s="37" t="inlineStr">
        <is>
          <t>SAR</t>
        </is>
      </c>
      <c r="F4" s="30" t="n">
        <v>2500000</v>
      </c>
      <c r="G4" s="30">
        <f>IFERROR(F4*VLOOKUP(E4,FX_Rates.$A$6:$B$11,2,0),0)</f>
        <v/>
      </c>
      <c r="H4" s="89" t="n">
        <v>45651</v>
      </c>
      <c r="I4" s="37" t="inlineStr">
        <is>
          <t>Dec-2024</t>
        </is>
      </c>
      <c r="J4" s="37" t="n">
        <v>150</v>
      </c>
      <c r="K4" s="37" t="inlineStr">
        <is>
          <t>SCHEDULED</t>
        </is>
      </c>
      <c r="L4" s="37" t="inlineStr">
        <is>
          <t>Regular payroll</t>
        </is>
      </c>
    </row>
    <row r="5">
      <c r="A5" s="8" t="inlineStr">
        <is>
          <t>HR-002</t>
        </is>
      </c>
      <c r="B5" s="8" t="inlineStr">
        <is>
          <t>GOSI</t>
        </is>
      </c>
      <c r="C5" s="8" t="inlineStr">
        <is>
          <t>All Departments</t>
        </is>
      </c>
      <c r="D5" s="8" t="inlineStr">
        <is>
          <t>GOSI Contributions</t>
        </is>
      </c>
      <c r="E5" s="8" t="inlineStr">
        <is>
          <t>SAR</t>
        </is>
      </c>
      <c r="F5" s="33" t="n">
        <v>375000</v>
      </c>
      <c r="G5" s="33">
        <f>IFERROR(F5*VLOOKUP(E5,FX_Rates.$A$6:$B$11,2,0),0)</f>
        <v/>
      </c>
      <c r="H5" s="90" t="n">
        <v>45641</v>
      </c>
      <c r="I5" s="8" t="inlineStr">
        <is>
          <t>Dec-2024</t>
        </is>
      </c>
      <c r="J5" s="8" t="n">
        <v>150</v>
      </c>
      <c r="K5" s="8" t="inlineStr">
        <is>
          <t>PENDING</t>
        </is>
      </c>
      <c r="L5" s="8" t="inlineStr">
        <is>
          <t>Government mandatory</t>
        </is>
      </c>
    </row>
    <row r="6">
      <c r="A6" s="37" t="inlineStr">
        <is>
          <t>HR-003</t>
        </is>
      </c>
      <c r="B6" s="37" t="inlineStr">
        <is>
          <t>Medical Insurance</t>
        </is>
      </c>
      <c r="C6" s="37" t="inlineStr">
        <is>
          <t>All Departments</t>
        </is>
      </c>
      <c r="D6" s="37" t="inlineStr">
        <is>
          <t>Group Medical Insurance</t>
        </is>
      </c>
      <c r="E6" s="37" t="inlineStr">
        <is>
          <t>SAR</t>
        </is>
      </c>
      <c r="F6" s="30" t="n">
        <v>180000</v>
      </c>
      <c r="G6" s="30">
        <f>IFERROR(F6*VLOOKUP(E6,FX_Rates.$A$6:$B$11,2,0),0)</f>
        <v/>
      </c>
      <c r="H6" s="89" t="n">
        <v>45646</v>
      </c>
      <c r="I6" s="37" t="inlineStr">
        <is>
          <t>Q1-2025</t>
        </is>
      </c>
      <c r="J6" s="37" t="n">
        <v>150</v>
      </c>
      <c r="K6" s="37" t="inlineStr">
        <is>
          <t>SCHEDULED</t>
        </is>
      </c>
      <c r="L6" s="37" t="inlineStr">
        <is>
          <t>Quarterly premium</t>
        </is>
      </c>
    </row>
    <row r="7">
      <c r="A7" s="8" t="inlineStr">
        <is>
          <t>HR-004</t>
        </is>
      </c>
      <c r="B7" s="8" t="inlineStr">
        <is>
          <t>End of Service</t>
        </is>
      </c>
      <c r="C7" s="8" t="inlineStr">
        <is>
          <t>Operations</t>
        </is>
      </c>
      <c r="D7" s="8" t="inlineStr">
        <is>
          <t>EOS Provisions</t>
        </is>
      </c>
      <c r="E7" s="8" t="inlineStr">
        <is>
          <t>SAR</t>
        </is>
      </c>
      <c r="F7" s="33" t="n">
        <v>95000</v>
      </c>
      <c r="G7" s="33">
        <f>IFERROR(F7*VLOOKUP(E7,FX_Rates.$A$6:$B$11,2,0),0)</f>
        <v/>
      </c>
      <c r="H7" s="90" t="n">
        <v>45662</v>
      </c>
      <c r="I7" s="8" t="inlineStr">
        <is>
          <t>Dec-2024</t>
        </is>
      </c>
      <c r="J7" s="8" t="n">
        <v>5</v>
      </c>
      <c r="K7" s="8" t="inlineStr">
        <is>
          <t>PENDING</t>
        </is>
      </c>
      <c r="L7" s="8" t="inlineStr">
        <is>
          <t>Resignations</t>
        </is>
      </c>
    </row>
    <row r="8">
      <c r="A8" s="37" t="inlineStr">
        <is>
          <t>HR-005</t>
        </is>
      </c>
      <c r="B8" s="37" t="inlineStr">
        <is>
          <t>Bonuses</t>
        </is>
      </c>
      <c r="C8" s="37" t="inlineStr">
        <is>
          <t>Sales</t>
        </is>
      </c>
      <c r="D8" s="37" t="inlineStr">
        <is>
          <t>Q4 Performance Bonuses</t>
        </is>
      </c>
      <c r="E8" s="37" t="inlineStr">
        <is>
          <t>SAR</t>
        </is>
      </c>
      <c r="F8" s="30" t="n">
        <v>450000</v>
      </c>
      <c r="G8" s="30">
        <f>IFERROR(F8*VLOOKUP(E8,FX_Rates.$A$6:$B$11,2,0),0)</f>
        <v/>
      </c>
      <c r="H8" s="89" t="n">
        <v>45672</v>
      </c>
      <c r="I8" s="37" t="inlineStr">
        <is>
          <t>Q4-2024</t>
        </is>
      </c>
      <c r="J8" s="37" t="n">
        <v>45</v>
      </c>
      <c r="K8" s="37" t="inlineStr">
        <is>
          <t>SCHEDULED</t>
        </is>
      </c>
      <c r="L8" s="37" t="inlineStr">
        <is>
          <t>Sales team</t>
        </is>
      </c>
    </row>
    <row r="9">
      <c r="A9" s="8" t="inlineStr">
        <is>
          <t>HR-006</t>
        </is>
      </c>
      <c r="B9" s="8" t="inlineStr">
        <is>
          <t>Training</t>
        </is>
      </c>
      <c r="C9" s="8" t="inlineStr">
        <is>
          <t>IT</t>
        </is>
      </c>
      <c r="D9" s="8" t="inlineStr">
        <is>
          <t>Technical Training Program</t>
        </is>
      </c>
      <c r="E9" s="8" t="inlineStr">
        <is>
          <t>USD</t>
        </is>
      </c>
      <c r="F9" s="33" t="n">
        <v>25000</v>
      </c>
      <c r="G9" s="33">
        <f>IFERROR(F9*VLOOKUP(E9,FX_Rates.$A$6:$B$11,2,0),0)</f>
        <v/>
      </c>
      <c r="H9" s="90" t="n">
        <v>45677</v>
      </c>
      <c r="I9" s="8" t="inlineStr">
        <is>
          <t>Q1-2025</t>
        </is>
      </c>
      <c r="J9" s="8" t="n">
        <v>20</v>
      </c>
      <c r="K9" s="8" t="inlineStr">
        <is>
          <t>PENDING</t>
        </is>
      </c>
      <c r="L9" s="8" t="inlineStr">
        <is>
          <t>External training</t>
        </is>
      </c>
    </row>
    <row r="10">
      <c r="A10" s="35" t="n"/>
      <c r="B10" s="35" t="n"/>
      <c r="C10" s="35" t="n"/>
      <c r="D10" s="35" t="n"/>
      <c r="E10" s="35" t="n"/>
      <c r="F10" s="35" t="n"/>
      <c r="G10" s="36">
        <f>IFERROR(IF(F10="","",F10*VLOOKUP(E10,FX_Rates.$A$6:$B$11,2,0)),0)</f>
        <v/>
      </c>
      <c r="H10" s="35" t="n"/>
      <c r="I10" s="35" t="n"/>
      <c r="J10" s="35" t="n"/>
      <c r="K10" s="35" t="n"/>
      <c r="L10" s="35" t="n"/>
    </row>
    <row r="11">
      <c r="A11" s="35" t="n"/>
      <c r="B11" s="35" t="n"/>
      <c r="C11" s="35" t="n"/>
      <c r="D11" s="35" t="n"/>
      <c r="E11" s="35" t="n"/>
      <c r="F11" s="35" t="n"/>
      <c r="G11" s="36">
        <f>IFERROR(IF(F11="","",F11*VLOOKUP(E11,FX_Rates.$A$6:$B$11,2,0)),0)</f>
        <v/>
      </c>
      <c r="H11" s="35" t="n"/>
      <c r="I11" s="35" t="n"/>
      <c r="J11" s="35" t="n"/>
      <c r="K11" s="35" t="n"/>
      <c r="L11" s="35" t="n"/>
    </row>
    <row r="12">
      <c r="A12" s="35" t="n"/>
      <c r="B12" s="35" t="n"/>
      <c r="C12" s="35" t="n"/>
      <c r="D12" s="35" t="n"/>
      <c r="E12" s="35" t="n"/>
      <c r="F12" s="35" t="n"/>
      <c r="G12" s="36">
        <f>IFERROR(IF(F12="","",F12*VLOOKUP(E12,FX_Rates.$A$6:$B$11,2,0)),0)</f>
        <v/>
      </c>
      <c r="H12" s="35" t="n"/>
      <c r="I12" s="35" t="n"/>
      <c r="J12" s="35" t="n"/>
      <c r="K12" s="35" t="n"/>
      <c r="L12" s="35" t="n"/>
    </row>
    <row r="13">
      <c r="A13" s="35" t="n"/>
      <c r="B13" s="35" t="n"/>
      <c r="C13" s="35" t="n"/>
      <c r="D13" s="35" t="n"/>
      <c r="E13" s="35" t="n"/>
      <c r="F13" s="35" t="n"/>
      <c r="G13" s="36">
        <f>IFERROR(IF(F13="","",F13*VLOOKUP(E13,FX_Rates.$A$6:$B$11,2,0)),0)</f>
        <v/>
      </c>
      <c r="H13" s="35" t="n"/>
      <c r="I13" s="35" t="n"/>
      <c r="J13" s="35" t="n"/>
      <c r="K13" s="35" t="n"/>
      <c r="L13" s="35" t="n"/>
    </row>
    <row r="14">
      <c r="A14" s="35" t="n"/>
      <c r="B14" s="35" t="n"/>
      <c r="C14" s="35" t="n"/>
      <c r="D14" s="35" t="n"/>
      <c r="E14" s="35" t="n"/>
      <c r="F14" s="35" t="n"/>
      <c r="G14" s="36">
        <f>IFERROR(IF(F14="","",F14*VLOOKUP(E14,FX_Rates.$A$6:$B$11,2,0)),0)</f>
        <v/>
      </c>
      <c r="H14" s="35" t="n"/>
      <c r="I14" s="35" t="n"/>
      <c r="J14" s="35" t="n"/>
      <c r="K14" s="35" t="n"/>
      <c r="L14" s="35" t="n"/>
    </row>
    <row r="15">
      <c r="A15" s="35" t="n"/>
      <c r="B15" s="35" t="n"/>
      <c r="C15" s="35" t="n"/>
      <c r="D15" s="35" t="n"/>
      <c r="E15" s="35" t="n"/>
      <c r="F15" s="35" t="n"/>
      <c r="G15" s="36">
        <f>IFERROR(IF(F15="","",F15*VLOOKUP(E15,FX_Rates.$A$6:$B$11,2,0)),0)</f>
        <v/>
      </c>
      <c r="H15" s="35" t="n"/>
      <c r="I15" s="35" t="n"/>
      <c r="J15" s="35" t="n"/>
      <c r="K15" s="35" t="n"/>
      <c r="L15" s="35" t="n"/>
    </row>
    <row r="16">
      <c r="A16" s="35" t="n"/>
      <c r="B16" s="35" t="n"/>
      <c r="C16" s="35" t="n"/>
      <c r="D16" s="35" t="n"/>
      <c r="E16" s="35" t="n"/>
      <c r="F16" s="35" t="n"/>
      <c r="G16" s="36">
        <f>IFERROR(IF(F16="","",F16*VLOOKUP(E16,FX_Rates.$A$6:$B$11,2,0)),0)</f>
        <v/>
      </c>
      <c r="H16" s="35" t="n"/>
      <c r="I16" s="35" t="n"/>
      <c r="J16" s="35" t="n"/>
      <c r="K16" s="35" t="n"/>
      <c r="L16" s="35" t="n"/>
    </row>
    <row r="17">
      <c r="A17" s="35" t="n"/>
      <c r="B17" s="35" t="n"/>
      <c r="C17" s="35" t="n"/>
      <c r="D17" s="35" t="n"/>
      <c r="E17" s="35" t="n"/>
      <c r="F17" s="35" t="n"/>
      <c r="G17" s="36">
        <f>IFERROR(IF(F17="","",F17*VLOOKUP(E17,FX_Rates.$A$6:$B$11,2,0)),0)</f>
        <v/>
      </c>
      <c r="H17" s="35" t="n"/>
      <c r="I17" s="35" t="n"/>
      <c r="J17" s="35" t="n"/>
      <c r="K17" s="35" t="n"/>
      <c r="L17" s="35" t="n"/>
    </row>
    <row r="18">
      <c r="A18" s="35" t="n"/>
      <c r="B18" s="35" t="n"/>
      <c r="C18" s="35" t="n"/>
      <c r="D18" s="35" t="n"/>
      <c r="E18" s="35" t="n"/>
      <c r="F18" s="35" t="n"/>
      <c r="G18" s="36">
        <f>IFERROR(IF(F18="","",F18*VLOOKUP(E18,FX_Rates.$A$6:$B$11,2,0)),0)</f>
        <v/>
      </c>
      <c r="H18" s="35" t="n"/>
      <c r="I18" s="35" t="n"/>
      <c r="J18" s="35" t="n"/>
      <c r="K18" s="35" t="n"/>
      <c r="L18" s="35" t="n"/>
    </row>
    <row r="19">
      <c r="A19" s="35" t="n"/>
      <c r="B19" s="35" t="n"/>
      <c r="C19" s="35" t="n"/>
      <c r="D19" s="35" t="n"/>
      <c r="E19" s="35" t="n"/>
      <c r="F19" s="35" t="n"/>
      <c r="G19" s="36">
        <f>IFERROR(IF(F19="","",F19*VLOOKUP(E19,FX_Rates.$A$6:$B$11,2,0)),0)</f>
        <v/>
      </c>
      <c r="H19" s="35" t="n"/>
      <c r="I19" s="35" t="n"/>
      <c r="J19" s="35" t="n"/>
      <c r="K19" s="35" t="n"/>
      <c r="L19" s="35" t="n"/>
    </row>
    <row r="20">
      <c r="A20" s="35" t="n"/>
      <c r="B20" s="35" t="n"/>
      <c r="C20" s="35" t="n"/>
      <c r="D20" s="35" t="n"/>
      <c r="E20" s="35" t="n"/>
      <c r="F20" s="35" t="n"/>
      <c r="G20" s="36">
        <f>IFERROR(IF(F20="","",F20*VLOOKUP(E20,FX_Rates.$A$6:$B$11,2,0)),0)</f>
        <v/>
      </c>
      <c r="H20" s="35" t="n"/>
      <c r="I20" s="35" t="n"/>
      <c r="J20" s="35" t="n"/>
      <c r="K20" s="35" t="n"/>
      <c r="L20" s="35" t="n"/>
    </row>
    <row r="21">
      <c r="A21" s="35" t="n"/>
      <c r="B21" s="35" t="n"/>
      <c r="C21" s="35" t="n"/>
      <c r="D21" s="35" t="n"/>
      <c r="E21" s="35" t="n"/>
      <c r="F21" s="35" t="n"/>
      <c r="G21" s="36">
        <f>IFERROR(IF(F21="","",F21*VLOOKUP(E21,FX_Rates.$A$6:$B$11,2,0)),0)</f>
        <v/>
      </c>
      <c r="H21" s="35" t="n"/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6">
        <f>IFERROR(IF(F22="","",F22*VLOOKUP(E22,FX_Rates.$A$6:$B$11,2,0)),0)</f>
        <v/>
      </c>
      <c r="H22" s="35" t="n"/>
      <c r="I22" s="35" t="n"/>
      <c r="J22" s="35" t="n"/>
      <c r="K22" s="35" t="n"/>
      <c r="L22" s="35" t="n"/>
    </row>
    <row r="23">
      <c r="A23" s="35" t="n"/>
      <c r="B23" s="35" t="n"/>
      <c r="C23" s="35" t="n"/>
      <c r="D23" s="35" t="n"/>
      <c r="E23" s="35" t="n"/>
      <c r="F23" s="35" t="n"/>
      <c r="G23" s="36">
        <f>IFERROR(IF(F23="","",F23*VLOOKUP(E23,FX_Rates.$A$6:$B$11,2,0)),0)</f>
        <v/>
      </c>
      <c r="H23" s="35" t="n"/>
      <c r="I23" s="35" t="n"/>
      <c r="J23" s="35" t="n"/>
      <c r="K23" s="35" t="n"/>
      <c r="L23" s="35" t="n"/>
    </row>
    <row r="24">
      <c r="A24" s="35" t="n"/>
      <c r="B24" s="35" t="n"/>
      <c r="C24" s="35" t="n"/>
      <c r="D24" s="35" t="n"/>
      <c r="E24" s="35" t="n"/>
      <c r="F24" s="35" t="n"/>
      <c r="G24" s="36">
        <f>IFERROR(IF(F24="","",F24*VLOOKUP(E24,FX_Rates.$A$6:$B$11,2,0)),0)</f>
        <v/>
      </c>
      <c r="H24" s="35" t="n"/>
      <c r="I24" s="35" t="n"/>
      <c r="J24" s="35" t="n"/>
      <c r="K24" s="35" t="n"/>
      <c r="L24" s="35" t="n"/>
    </row>
    <row r="25">
      <c r="A25" s="35" t="n"/>
      <c r="B25" s="35" t="n"/>
      <c r="C25" s="35" t="n"/>
      <c r="D25" s="35" t="n"/>
      <c r="E25" s="35" t="n"/>
      <c r="F25" s="35" t="n"/>
      <c r="G25" s="36">
        <f>IFERROR(IF(F25="","",F25*VLOOKUP(E25,FX_Rates.$A$6:$B$11,2,0)),0)</f>
        <v/>
      </c>
      <c r="H25" s="35" t="n"/>
      <c r="I25" s="35" t="n"/>
      <c r="J25" s="35" t="n"/>
      <c r="K25" s="35" t="n"/>
      <c r="L25" s="35" t="n"/>
    </row>
    <row r="26">
      <c r="A26" s="35" t="n"/>
      <c r="B26" s="35" t="n"/>
      <c r="C26" s="35" t="n"/>
      <c r="D26" s="35" t="n"/>
      <c r="E26" s="35" t="n"/>
      <c r="F26" s="35" t="n"/>
      <c r="G26" s="36">
        <f>IFERROR(IF(F26="","",F26*VLOOKUP(E26,FX_Rates.$A$6:$B$11,2,0)),0)</f>
        <v/>
      </c>
      <c r="H26" s="35" t="n"/>
      <c r="I26" s="35" t="n"/>
      <c r="J26" s="35" t="n"/>
      <c r="K26" s="35" t="n"/>
      <c r="L26" s="35" t="n"/>
    </row>
    <row r="27">
      <c r="A27" s="35" t="n"/>
      <c r="B27" s="35" t="n"/>
      <c r="C27" s="35" t="n"/>
      <c r="D27" s="35" t="n"/>
      <c r="E27" s="35" t="n"/>
      <c r="F27" s="35" t="n"/>
      <c r="G27" s="36">
        <f>IFERROR(IF(F27="","",F27*VLOOKUP(E27,FX_Rates.$A$6:$B$11,2,0)),0)</f>
        <v/>
      </c>
      <c r="H27" s="35" t="n"/>
      <c r="I27" s="35" t="n"/>
      <c r="J27" s="35" t="n"/>
      <c r="K27" s="35" t="n"/>
      <c r="L27" s="35" t="n"/>
    </row>
    <row r="28">
      <c r="A28" s="35" t="n"/>
      <c r="B28" s="35" t="n"/>
      <c r="C28" s="35" t="n"/>
      <c r="D28" s="35" t="n"/>
      <c r="E28" s="35" t="n"/>
      <c r="F28" s="35" t="n"/>
      <c r="G28" s="36">
        <f>IFERROR(IF(F28="","",F28*VLOOKUP(E28,FX_Rates.$A$6:$B$11,2,0)),0)</f>
        <v/>
      </c>
      <c r="H28" s="35" t="n"/>
      <c r="I28" s="35" t="n"/>
      <c r="J28" s="35" t="n"/>
      <c r="K28" s="35" t="n"/>
      <c r="L28" s="35" t="n"/>
    </row>
    <row r="29">
      <c r="A29" s="35" t="n"/>
      <c r="B29" s="35" t="n"/>
      <c r="C29" s="35" t="n"/>
      <c r="D29" s="35" t="n"/>
      <c r="E29" s="35" t="n"/>
      <c r="F29" s="35" t="n"/>
      <c r="G29" s="36">
        <f>IFERROR(IF(F29="","",F29*VLOOKUP(E29,FX_Rates.$A$6:$B$11,2,0)),0)</f>
        <v/>
      </c>
      <c r="H29" s="35" t="n"/>
      <c r="I29" s="35" t="n"/>
      <c r="J29" s="35" t="n"/>
      <c r="K29" s="35" t="n"/>
      <c r="L29" s="35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5" customWidth="1" min="4" max="4"/>
    <col width="12" customWidth="1" min="5" max="5"/>
    <col width="15" customWidth="1" min="6" max="6"/>
    <col width="15" customWidth="1" min="7" max="7"/>
    <col width="15" customWidth="1" min="8" max="8"/>
    <col width="12" customWidth="1" min="9" max="9"/>
    <col width="18" customWidth="1" min="10" max="10"/>
    <col width="12" customWidth="1" min="11" max="11"/>
    <col width="12" customWidth="1" min="12" max="12"/>
  </cols>
  <sheetData>
    <row r="1" ht="35" customHeight="1">
      <c r="A1" s="1" t="inlineStr">
        <is>
          <t>SOURCE DATA - DEBT SERVICE &amp; LOAN OBLIGATIONS</t>
        </is>
      </c>
    </row>
    <row r="3">
      <c r="A3" s="6" t="inlineStr">
        <is>
          <t>Loan ID</t>
        </is>
      </c>
      <c r="B3" s="6" t="inlineStr">
        <is>
          <t>Bank/Lender</t>
        </is>
      </c>
      <c r="C3" s="6" t="inlineStr">
        <is>
          <t>Facility Type</t>
        </is>
      </c>
      <c r="D3" s="6" t="inlineStr">
        <is>
          <t>Description</t>
        </is>
      </c>
      <c r="E3" s="6" t="inlineStr">
        <is>
          <t>Original CCY</t>
        </is>
      </c>
      <c r="F3" s="6" t="inlineStr">
        <is>
          <t>Principal (CCY)</t>
        </is>
      </c>
      <c r="G3" s="6" t="inlineStr">
        <is>
          <t>Interest (CCY)</t>
        </is>
      </c>
      <c r="H3" s="6" t="inlineStr">
        <is>
          <t>Total (SAR)</t>
        </is>
      </c>
      <c r="I3" s="6" t="inlineStr">
        <is>
          <t>Payment Date</t>
        </is>
      </c>
      <c r="J3" s="6" t="inlineStr">
        <is>
          <t>Outstanding Balance</t>
        </is>
      </c>
      <c r="K3" s="6" t="inlineStr">
        <is>
          <t>Status</t>
        </is>
      </c>
      <c r="L3" s="6" t="inlineStr">
        <is>
          <t>Maturity Date</t>
        </is>
      </c>
    </row>
    <row r="4">
      <c r="A4" s="37" t="inlineStr">
        <is>
          <t>LN-001</t>
        </is>
      </c>
      <c r="B4" s="37" t="inlineStr">
        <is>
          <t>Saudi National Bank</t>
        </is>
      </c>
      <c r="C4" s="37" t="inlineStr">
        <is>
          <t>Term Loan</t>
        </is>
      </c>
      <c r="D4" s="37" t="inlineStr">
        <is>
          <t>Working Capital Facility</t>
        </is>
      </c>
      <c r="E4" s="37" t="inlineStr">
        <is>
          <t>SAR</t>
        </is>
      </c>
      <c r="F4" s="30" t="n">
        <v>500000</v>
      </c>
      <c r="G4" s="30" t="n">
        <v>25000</v>
      </c>
      <c r="H4" s="30">
        <f>IFERROR((F4+G4)*VLOOKUP(E4,FX_Rates.$A$6:$B$11,2,0),0)</f>
        <v/>
      </c>
      <c r="I4" s="89" t="n">
        <v>45641</v>
      </c>
      <c r="J4" s="30" t="n">
        <v>4500000</v>
      </c>
      <c r="K4" s="37" t="inlineStr">
        <is>
          <t>SCHEDULED</t>
        </is>
      </c>
      <c r="L4" s="89" t="n">
        <v>46371</v>
      </c>
    </row>
    <row r="5">
      <c r="A5" s="8" t="inlineStr">
        <is>
          <t>LN-002</t>
        </is>
      </c>
      <c r="B5" s="8" t="inlineStr">
        <is>
          <t>Al Rajhi Bank</t>
        </is>
      </c>
      <c r="C5" s="8" t="inlineStr">
        <is>
          <t>Islamic Finance</t>
        </is>
      </c>
      <c r="D5" s="8" t="inlineStr">
        <is>
          <t>Murabaha Facility</t>
        </is>
      </c>
      <c r="E5" s="8" t="inlineStr">
        <is>
          <t>SAR</t>
        </is>
      </c>
      <c r="F5" s="33" t="n">
        <v>350000</v>
      </c>
      <c r="G5" s="33" t="n">
        <v>18000</v>
      </c>
      <c r="H5" s="33">
        <f>IFERROR((F5+G5)*VLOOKUP(E5,FX_Rates.$A$6:$B$11,2,0),0)</f>
        <v/>
      </c>
      <c r="I5" s="90" t="n">
        <v>45646</v>
      </c>
      <c r="J5" s="33" t="n">
        <v>3200000</v>
      </c>
      <c r="K5" s="8" t="inlineStr">
        <is>
          <t>PENDING</t>
        </is>
      </c>
      <c r="L5" s="90" t="n">
        <v>46558</v>
      </c>
    </row>
    <row r="6">
      <c r="A6" s="37" t="inlineStr">
        <is>
          <t>LN-003</t>
        </is>
      </c>
      <c r="B6" s="37" t="inlineStr">
        <is>
          <t>HSBC</t>
        </is>
      </c>
      <c r="C6" s="37" t="inlineStr">
        <is>
          <t>Revolving Credit</t>
        </is>
      </c>
      <c r="D6" s="37" t="inlineStr">
        <is>
          <t>USD Credit Line</t>
        </is>
      </c>
      <c r="E6" s="37" t="inlineStr">
        <is>
          <t>USD</t>
        </is>
      </c>
      <c r="F6" s="30" t="n">
        <v>200000</v>
      </c>
      <c r="G6" s="30" t="n">
        <v>8500</v>
      </c>
      <c r="H6" s="30">
        <f>IFERROR((F6+G6)*VLOOKUP(E6,FX_Rates.$A$6:$B$11,2,0),0)</f>
        <v/>
      </c>
      <c r="I6" s="89" t="n">
        <v>45654</v>
      </c>
      <c r="J6" s="30" t="n">
        <v>1800000</v>
      </c>
      <c r="K6" s="37" t="inlineStr">
        <is>
          <t>SCHEDULED</t>
        </is>
      </c>
      <c r="L6" s="89" t="n">
        <v>46019</v>
      </c>
    </row>
    <row r="7">
      <c r="A7" s="8" t="inlineStr">
        <is>
          <t>LN-004</t>
        </is>
      </c>
      <c r="B7" s="8" t="inlineStr">
        <is>
          <t>Riyad Bank</t>
        </is>
      </c>
      <c r="C7" s="8" t="inlineStr">
        <is>
          <t>Equipment Finance</t>
        </is>
      </c>
      <c r="D7" s="8" t="inlineStr">
        <is>
          <t>Vehicle Lease</t>
        </is>
      </c>
      <c r="E7" s="8" t="inlineStr">
        <is>
          <t>SAR</t>
        </is>
      </c>
      <c r="F7" s="33" t="n">
        <v>85000</v>
      </c>
      <c r="G7" s="33" t="n">
        <v>4200</v>
      </c>
      <c r="H7" s="33">
        <f>IFERROR((F7+G7)*VLOOKUP(E7,FX_Rates.$A$6:$B$11,2,0),0)</f>
        <v/>
      </c>
      <c r="I7" s="90" t="n">
        <v>45662</v>
      </c>
      <c r="J7" s="33" t="n">
        <v>680000</v>
      </c>
      <c r="K7" s="8" t="inlineStr">
        <is>
          <t>SCHEDULED</t>
        </is>
      </c>
      <c r="L7" s="90" t="n">
        <v>46027</v>
      </c>
    </row>
    <row r="8">
      <c r="A8" s="37" t="inlineStr">
        <is>
          <t>LN-005</t>
        </is>
      </c>
      <c r="B8" s="37" t="inlineStr">
        <is>
          <t>Emirates NBD</t>
        </is>
      </c>
      <c r="C8" s="37" t="inlineStr">
        <is>
          <t>Trade Finance</t>
        </is>
      </c>
      <c r="D8" s="37" t="inlineStr">
        <is>
          <t>LC Facility</t>
        </is>
      </c>
      <c r="E8" s="37" t="inlineStr">
        <is>
          <t>AED</t>
        </is>
      </c>
      <c r="F8" s="30" t="n">
        <v>450000</v>
      </c>
      <c r="G8" s="30" t="n">
        <v>15000</v>
      </c>
      <c r="H8" s="30">
        <f>IFERROR((F8+G8)*VLOOKUP(E8,FX_Rates.$A$6:$B$11,2,0),0)</f>
        <v/>
      </c>
      <c r="I8" s="89" t="n">
        <v>45667</v>
      </c>
      <c r="J8" s="30" t="n">
        <v>2700000</v>
      </c>
      <c r="K8" s="37" t="inlineStr">
        <is>
          <t>PENDING</t>
        </is>
      </c>
      <c r="L8" s="89" t="n">
        <v>45848</v>
      </c>
    </row>
    <row r="9">
      <c r="A9" s="35" t="n"/>
      <c r="B9" s="35" t="n"/>
      <c r="C9" s="35" t="n"/>
      <c r="D9" s="35" t="n"/>
      <c r="E9" s="35" t="n"/>
      <c r="F9" s="35" t="n"/>
      <c r="G9" s="35" t="n"/>
      <c r="H9" s="36">
        <f>IFERROR(IF(F9="","",IF(G9="",(F9)*VLOOKUP(E9,FX_Rates.$A$6:$B$11,2,0),(F9+G9)*VLOOKUP(E9,FX_Rates.$A$6:$B$11,2,0))),0)</f>
        <v/>
      </c>
      <c r="I9" s="35" t="n"/>
      <c r="J9" s="35" t="n"/>
      <c r="K9" s="35" t="n"/>
      <c r="L9" s="3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6">
        <f>IFERROR(IF(F10="","",IF(G10="",(F10)*VLOOKUP(E10,FX_Rates.$A$6:$B$11,2,0),(F10+G10)*VLOOKUP(E10,FX_Rates.$A$6:$B$11,2,0))),0)</f>
        <v/>
      </c>
      <c r="I10" s="35" t="n"/>
      <c r="J10" s="35" t="n"/>
      <c r="K10" s="35" t="n"/>
      <c r="L10" s="3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36">
        <f>IFERROR(IF(F11="","",IF(G11="",(F11)*VLOOKUP(E11,FX_Rates.$A$6:$B$11,2,0),(F11+G11)*VLOOKUP(E11,FX_Rates.$A$6:$B$11,2,0))),0)</f>
        <v/>
      </c>
      <c r="I11" s="35" t="n"/>
      <c r="J11" s="35" t="n"/>
      <c r="K11" s="35" t="n"/>
      <c r="L11" s="35" t="n"/>
    </row>
    <row r="12">
      <c r="A12" s="35" t="n"/>
      <c r="B12" s="35" t="n"/>
      <c r="C12" s="35" t="n"/>
      <c r="D12" s="35" t="n"/>
      <c r="E12" s="35" t="n"/>
      <c r="F12" s="35" t="n"/>
      <c r="G12" s="35" t="n"/>
      <c r="H12" s="36">
        <f>IFERROR(IF(F12="","",IF(G12="",(F12)*VLOOKUP(E12,FX_Rates.$A$6:$B$11,2,0),(F12+G12)*VLOOKUP(E12,FX_Rates.$A$6:$B$11,2,0))),0)</f>
        <v/>
      </c>
      <c r="I12" s="35" t="n"/>
      <c r="J12" s="35" t="n"/>
      <c r="K12" s="35" t="n"/>
      <c r="L12" s="35" t="n"/>
    </row>
    <row r="13">
      <c r="A13" s="35" t="n"/>
      <c r="B13" s="35" t="n"/>
      <c r="C13" s="35" t="n"/>
      <c r="D13" s="35" t="n"/>
      <c r="E13" s="35" t="n"/>
      <c r="F13" s="35" t="n"/>
      <c r="G13" s="35" t="n"/>
      <c r="H13" s="36">
        <f>IFERROR(IF(F13="","",IF(G13="",(F13)*VLOOKUP(E13,FX_Rates.$A$6:$B$11,2,0),(F13+G13)*VLOOKUP(E13,FX_Rates.$A$6:$B$11,2,0))),0)</f>
        <v/>
      </c>
      <c r="I13" s="35" t="n"/>
      <c r="J13" s="35" t="n"/>
      <c r="K13" s="35" t="n"/>
      <c r="L13" s="35" t="n"/>
    </row>
    <row r="14">
      <c r="A14" s="35" t="n"/>
      <c r="B14" s="35" t="n"/>
      <c r="C14" s="35" t="n"/>
      <c r="D14" s="35" t="n"/>
      <c r="E14" s="35" t="n"/>
      <c r="F14" s="35" t="n"/>
      <c r="G14" s="35" t="n"/>
      <c r="H14" s="36">
        <f>IFERROR(IF(F14="","",IF(G14="",(F14)*VLOOKUP(E14,FX_Rates.$A$6:$B$11,2,0),(F14+G14)*VLOOKUP(E14,FX_Rates.$A$6:$B$11,2,0))),0)</f>
        <v/>
      </c>
      <c r="I14" s="35" t="n"/>
      <c r="J14" s="35" t="n"/>
      <c r="K14" s="35" t="n"/>
      <c r="L14" s="35" t="n"/>
    </row>
    <row r="15">
      <c r="A15" s="35" t="n"/>
      <c r="B15" s="35" t="n"/>
      <c r="C15" s="35" t="n"/>
      <c r="D15" s="35" t="n"/>
      <c r="E15" s="35" t="n"/>
      <c r="F15" s="35" t="n"/>
      <c r="G15" s="35" t="n"/>
      <c r="H15" s="36">
        <f>IFERROR(IF(F15="","",IF(G15="",(F15)*VLOOKUP(E15,FX_Rates.$A$6:$B$11,2,0),(F15+G15)*VLOOKUP(E15,FX_Rates.$A$6:$B$11,2,0))),0)</f>
        <v/>
      </c>
      <c r="I15" s="35" t="n"/>
      <c r="J15" s="35" t="n"/>
      <c r="K15" s="35" t="n"/>
      <c r="L15" s="35" t="n"/>
    </row>
    <row r="16">
      <c r="A16" s="35" t="n"/>
      <c r="B16" s="35" t="n"/>
      <c r="C16" s="35" t="n"/>
      <c r="D16" s="35" t="n"/>
      <c r="E16" s="35" t="n"/>
      <c r="F16" s="35" t="n"/>
      <c r="G16" s="35" t="n"/>
      <c r="H16" s="36">
        <f>IFERROR(IF(F16="","",IF(G16="",(F16)*VLOOKUP(E16,FX_Rates.$A$6:$B$11,2,0),(F16+G16)*VLOOKUP(E16,FX_Rates.$A$6:$B$11,2,0))),0)</f>
        <v/>
      </c>
      <c r="I16" s="35" t="n"/>
      <c r="J16" s="35" t="n"/>
      <c r="K16" s="35" t="n"/>
      <c r="L16" s="3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6">
        <f>IFERROR(IF(F17="","",IF(G17="",(F17)*VLOOKUP(E17,FX_Rates.$A$6:$B$11,2,0),(F17+G17)*VLOOKUP(E17,FX_Rates.$A$6:$B$11,2,0))),0)</f>
        <v/>
      </c>
      <c r="I17" s="35" t="n"/>
      <c r="J17" s="35" t="n"/>
      <c r="K17" s="35" t="n"/>
      <c r="L17" s="3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6">
        <f>IFERROR(IF(F18="","",IF(G18="",(F18)*VLOOKUP(E18,FX_Rates.$A$6:$B$11,2,0),(F18+G18)*VLOOKUP(E18,FX_Rates.$A$6:$B$11,2,0))),0)</f>
        <v/>
      </c>
      <c r="I18" s="35" t="n"/>
      <c r="J18" s="35" t="n"/>
      <c r="K18" s="35" t="n"/>
      <c r="L18" s="3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36">
        <f>IFERROR(IF(F19="","",IF(G19="",(F19)*VLOOKUP(E19,FX_Rates.$A$6:$B$11,2,0),(F19+G19)*VLOOKUP(E19,FX_Rates.$A$6:$B$11,2,0))),0)</f>
        <v/>
      </c>
      <c r="I19" s="35" t="n"/>
      <c r="J19" s="35" t="n"/>
      <c r="K19" s="35" t="n"/>
      <c r="L19" s="3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6">
        <f>IFERROR(IF(F20="","",IF(G20="",(F20)*VLOOKUP(E20,FX_Rates.$A$6:$B$11,2,0),(F20+G20)*VLOOKUP(E20,FX_Rates.$A$6:$B$11,2,0))),0)</f>
        <v/>
      </c>
      <c r="I20" s="35" t="n"/>
      <c r="J20" s="35" t="n"/>
      <c r="K20" s="35" t="n"/>
      <c r="L20" s="35" t="n"/>
    </row>
    <row r="21">
      <c r="A21" s="35" t="n"/>
      <c r="B21" s="35" t="n"/>
      <c r="C21" s="35" t="n"/>
      <c r="D21" s="35" t="n"/>
      <c r="E21" s="35" t="n"/>
      <c r="F21" s="35" t="n"/>
      <c r="G21" s="35" t="n"/>
      <c r="H21" s="36">
        <f>IFERROR(IF(F21="","",IF(G21="",(F21)*VLOOKUP(E21,FX_Rates.$A$6:$B$11,2,0),(F21+G21)*VLOOKUP(E21,FX_Rates.$A$6:$B$11,2,0))),0)</f>
        <v/>
      </c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5" t="n"/>
      <c r="H22" s="36">
        <f>IFERROR(IF(F22="","",IF(G22="",(F22)*VLOOKUP(E22,FX_Rates.$A$6:$B$11,2,0),(F22+G22)*VLOOKUP(E22,FX_Rates.$A$6:$B$11,2,0))),0)</f>
        <v/>
      </c>
      <c r="I22" s="35" t="n"/>
      <c r="J22" s="35" t="n"/>
      <c r="K22" s="35" t="n"/>
      <c r="L22" s="35" t="n"/>
    </row>
    <row r="23">
      <c r="A23" s="35" t="n"/>
      <c r="B23" s="35" t="n"/>
      <c r="C23" s="35" t="n"/>
      <c r="D23" s="35" t="n"/>
      <c r="E23" s="35" t="n"/>
      <c r="F23" s="35" t="n"/>
      <c r="G23" s="35" t="n"/>
      <c r="H23" s="36">
        <f>IFERROR(IF(F23="","",IF(G23="",(F23)*VLOOKUP(E23,FX_Rates.$A$6:$B$11,2,0),(F23+G23)*VLOOKUP(E23,FX_Rates.$A$6:$B$11,2,0))),0)</f>
        <v/>
      </c>
      <c r="I23" s="35" t="n"/>
      <c r="J23" s="35" t="n"/>
      <c r="K23" s="35" t="n"/>
      <c r="L23" s="35" t="n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8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5" customHeight="1">
      <c r="A1" s="1" t="inlineStr">
        <is>
          <t>SOURCE DATA - FIXED EXPENSES</t>
        </is>
      </c>
    </row>
    <row r="3">
      <c r="A3" s="6" t="inlineStr">
        <is>
          <t>Fixed ID</t>
        </is>
      </c>
      <c r="B3" s="6" t="inlineStr">
        <is>
          <t>Vendor/Payee</t>
        </is>
      </c>
      <c r="C3" s="6" t="inlineStr">
        <is>
          <t>Expense Type</t>
        </is>
      </c>
      <c r="D3" s="6" t="inlineStr">
        <is>
          <t>Description</t>
        </is>
      </c>
      <c r="E3" s="6" t="inlineStr">
        <is>
          <t>Original CCY</t>
        </is>
      </c>
      <c r="F3" s="6" t="inlineStr">
        <is>
          <t>Amount (CCY)</t>
        </is>
      </c>
      <c r="G3" s="6" t="inlineStr">
        <is>
          <t>Amount (SAR)</t>
        </is>
      </c>
      <c r="H3" s="6" t="inlineStr">
        <is>
          <t>Due Date</t>
        </is>
      </c>
      <c r="I3" s="6" t="inlineStr">
        <is>
          <t>Frequency</t>
        </is>
      </c>
      <c r="J3" s="6" t="inlineStr">
        <is>
          <t>Contract End</t>
        </is>
      </c>
      <c r="K3" s="6" t="inlineStr">
        <is>
          <t>Status</t>
        </is>
      </c>
      <c r="L3" s="6" t="inlineStr">
        <is>
          <t>Auto-Renew</t>
        </is>
      </c>
    </row>
    <row r="4">
      <c r="A4" s="37" t="inlineStr">
        <is>
          <t>FIX-001</t>
        </is>
      </c>
      <c r="B4" s="37" t="inlineStr">
        <is>
          <t>Property Management</t>
        </is>
      </c>
      <c r="C4" s="37" t="inlineStr">
        <is>
          <t>Lease</t>
        </is>
      </c>
      <c r="D4" s="37" t="inlineStr">
        <is>
          <t>Main Office Rent</t>
        </is>
      </c>
      <c r="E4" s="37" t="inlineStr">
        <is>
          <t>SAR</t>
        </is>
      </c>
      <c r="F4" s="30" t="n">
        <v>150000</v>
      </c>
      <c r="G4" s="30">
        <f>IFERROR(F4*VLOOKUP(E4,FX_Rates.$A$6:$B$11,2,0),0)</f>
        <v/>
      </c>
      <c r="H4" s="89" t="n">
        <v>45627</v>
      </c>
      <c r="I4" s="37" t="inlineStr">
        <is>
          <t>Monthly</t>
        </is>
      </c>
      <c r="J4" s="89" t="n">
        <v>46022</v>
      </c>
      <c r="K4" s="37" t="inlineStr">
        <is>
          <t>PAID</t>
        </is>
      </c>
      <c r="L4" s="37" t="inlineStr">
        <is>
          <t>Yes</t>
        </is>
      </c>
    </row>
    <row r="5">
      <c r="A5" s="8" t="inlineStr">
        <is>
          <t>FIX-002</t>
        </is>
      </c>
      <c r="B5" s="8" t="inlineStr">
        <is>
          <t>Software Vendor</t>
        </is>
      </c>
      <c r="C5" s="8" t="inlineStr">
        <is>
          <t>License</t>
        </is>
      </c>
      <c r="D5" s="8" t="inlineStr">
        <is>
          <t>Microsoft 365 Enterprise</t>
        </is>
      </c>
      <c r="E5" s="8" t="inlineStr">
        <is>
          <t>USD</t>
        </is>
      </c>
      <c r="F5" s="33" t="n">
        <v>12000</v>
      </c>
      <c r="G5" s="33">
        <f>IFERROR(F5*VLOOKUP(E5,FX_Rates.$A$6:$B$11,2,0),0)</f>
        <v/>
      </c>
      <c r="H5" s="90" t="n">
        <v>45641</v>
      </c>
      <c r="I5" s="8" t="inlineStr">
        <is>
          <t>Monthly</t>
        </is>
      </c>
      <c r="J5" s="90" t="n">
        <v>46022</v>
      </c>
      <c r="K5" s="8" t="inlineStr">
        <is>
          <t>SCHEDULED</t>
        </is>
      </c>
      <c r="L5" s="8" t="inlineStr">
        <is>
          <t>Yes</t>
        </is>
      </c>
    </row>
    <row r="6">
      <c r="A6" s="37" t="inlineStr">
        <is>
          <t>FIX-003</t>
        </is>
      </c>
      <c r="B6" s="37" t="inlineStr">
        <is>
          <t>Security Company</t>
        </is>
      </c>
      <c r="C6" s="37" t="inlineStr">
        <is>
          <t>Service</t>
        </is>
      </c>
      <c r="D6" s="37" t="inlineStr">
        <is>
          <t>Building Security Contract</t>
        </is>
      </c>
      <c r="E6" s="37" t="inlineStr">
        <is>
          <t>SAR</t>
        </is>
      </c>
      <c r="F6" s="30" t="n">
        <v>45000</v>
      </c>
      <c r="G6" s="30">
        <f>IFERROR(F6*VLOOKUP(E6,FX_Rates.$A$6:$B$11,2,0),0)</f>
        <v/>
      </c>
      <c r="H6" s="89" t="n">
        <v>45646</v>
      </c>
      <c r="I6" s="37" t="inlineStr">
        <is>
          <t>Monthly</t>
        </is>
      </c>
      <c r="J6" s="89" t="n">
        <v>45838</v>
      </c>
      <c r="K6" s="37" t="inlineStr">
        <is>
          <t>SCHEDULED</t>
        </is>
      </c>
      <c r="L6" s="37" t="inlineStr">
        <is>
          <t>No</t>
        </is>
      </c>
    </row>
    <row r="7">
      <c r="A7" s="8" t="inlineStr">
        <is>
          <t>FIX-004</t>
        </is>
      </c>
      <c r="B7" s="8" t="inlineStr">
        <is>
          <t>Cleaning Services</t>
        </is>
      </c>
      <c r="C7" s="8" t="inlineStr">
        <is>
          <t>Service</t>
        </is>
      </c>
      <c r="D7" s="8" t="inlineStr">
        <is>
          <t>Office Cleaning</t>
        </is>
      </c>
      <c r="E7" s="8" t="inlineStr">
        <is>
          <t>SAR</t>
        </is>
      </c>
      <c r="F7" s="33" t="n">
        <v>18000</v>
      </c>
      <c r="G7" s="33">
        <f>IFERROR(F7*VLOOKUP(E7,FX_Rates.$A$6:$B$11,2,0),0)</f>
        <v/>
      </c>
      <c r="H7" s="90" t="n">
        <v>45651</v>
      </c>
      <c r="I7" s="8" t="inlineStr">
        <is>
          <t>Monthly</t>
        </is>
      </c>
      <c r="J7" s="90" t="n">
        <v>46022</v>
      </c>
      <c r="K7" s="8" t="inlineStr">
        <is>
          <t>PENDING</t>
        </is>
      </c>
      <c r="L7" s="8" t="inlineStr">
        <is>
          <t>Yes</t>
        </is>
      </c>
    </row>
    <row r="8">
      <c r="A8" s="35" t="n"/>
      <c r="B8" s="35" t="n"/>
      <c r="C8" s="35" t="n"/>
      <c r="D8" s="35" t="n"/>
      <c r="E8" s="35" t="n"/>
      <c r="F8" s="35" t="n"/>
      <c r="G8" s="36">
        <f>IFERROR(IF(F8="","",F8*VLOOKUP(E8,FX_Rates.$A$6:$B$11,2,0)),0)</f>
        <v/>
      </c>
      <c r="H8" s="35" t="n"/>
      <c r="I8" s="35" t="n"/>
      <c r="J8" s="35" t="n"/>
      <c r="K8" s="35" t="n"/>
      <c r="L8" s="35" t="n"/>
    </row>
    <row r="9">
      <c r="A9" s="35" t="n"/>
      <c r="B9" s="35" t="n"/>
      <c r="C9" s="35" t="n"/>
      <c r="D9" s="35" t="n"/>
      <c r="E9" s="35" t="n"/>
      <c r="F9" s="35" t="n"/>
      <c r="G9" s="36">
        <f>IFERROR(IF(F9="","",F9*VLOOKUP(E9,FX_Rates.$A$6:$B$11,2,0)),0)</f>
        <v/>
      </c>
      <c r="H9" s="35" t="n"/>
      <c r="I9" s="35" t="n"/>
      <c r="J9" s="35" t="n"/>
      <c r="K9" s="35" t="n"/>
      <c r="L9" s="35" t="n"/>
    </row>
    <row r="10">
      <c r="A10" s="35" t="n"/>
      <c r="B10" s="35" t="n"/>
      <c r="C10" s="35" t="n"/>
      <c r="D10" s="35" t="n"/>
      <c r="E10" s="35" t="n"/>
      <c r="F10" s="35" t="n"/>
      <c r="G10" s="36">
        <f>IFERROR(IF(F10="","",F10*VLOOKUP(E10,FX_Rates.$A$6:$B$11,2,0)),0)</f>
        <v/>
      </c>
      <c r="H10" s="35" t="n"/>
      <c r="I10" s="35" t="n"/>
      <c r="J10" s="35" t="n"/>
      <c r="K10" s="35" t="n"/>
      <c r="L10" s="35" t="n"/>
    </row>
    <row r="11">
      <c r="A11" s="35" t="n"/>
      <c r="B11" s="35" t="n"/>
      <c r="C11" s="35" t="n"/>
      <c r="D11" s="35" t="n"/>
      <c r="E11" s="35" t="n"/>
      <c r="F11" s="35" t="n"/>
      <c r="G11" s="36">
        <f>IFERROR(IF(F11="","",F11*VLOOKUP(E11,FX_Rates.$A$6:$B$11,2,0)),0)</f>
        <v/>
      </c>
      <c r="H11" s="35" t="n"/>
      <c r="I11" s="35" t="n"/>
      <c r="J11" s="35" t="n"/>
      <c r="K11" s="35" t="n"/>
      <c r="L11" s="35" t="n"/>
    </row>
    <row r="12">
      <c r="A12" s="35" t="n"/>
      <c r="B12" s="35" t="n"/>
      <c r="C12" s="35" t="n"/>
      <c r="D12" s="35" t="n"/>
      <c r="E12" s="35" t="n"/>
      <c r="F12" s="35" t="n"/>
      <c r="G12" s="36">
        <f>IFERROR(IF(F12="","",F12*VLOOKUP(E12,FX_Rates.$A$6:$B$11,2,0)),0)</f>
        <v/>
      </c>
      <c r="H12" s="35" t="n"/>
      <c r="I12" s="35" t="n"/>
      <c r="J12" s="35" t="n"/>
      <c r="K12" s="35" t="n"/>
      <c r="L12" s="35" t="n"/>
    </row>
    <row r="13">
      <c r="A13" s="35" t="n"/>
      <c r="B13" s="35" t="n"/>
      <c r="C13" s="35" t="n"/>
      <c r="D13" s="35" t="n"/>
      <c r="E13" s="35" t="n"/>
      <c r="F13" s="35" t="n"/>
      <c r="G13" s="36">
        <f>IFERROR(IF(F13="","",F13*VLOOKUP(E13,FX_Rates.$A$6:$B$11,2,0)),0)</f>
        <v/>
      </c>
      <c r="H13" s="35" t="n"/>
      <c r="I13" s="35" t="n"/>
      <c r="J13" s="35" t="n"/>
      <c r="K13" s="35" t="n"/>
      <c r="L13" s="35" t="n"/>
    </row>
    <row r="14">
      <c r="A14" s="35" t="n"/>
      <c r="B14" s="35" t="n"/>
      <c r="C14" s="35" t="n"/>
      <c r="D14" s="35" t="n"/>
      <c r="E14" s="35" t="n"/>
      <c r="F14" s="35" t="n"/>
      <c r="G14" s="36">
        <f>IFERROR(IF(F14="","",F14*VLOOKUP(E14,FX_Rates.$A$6:$B$11,2,0)),0)</f>
        <v/>
      </c>
      <c r="H14" s="35" t="n"/>
      <c r="I14" s="35" t="n"/>
      <c r="J14" s="35" t="n"/>
      <c r="K14" s="35" t="n"/>
      <c r="L14" s="35" t="n"/>
    </row>
    <row r="15">
      <c r="A15" s="35" t="n"/>
      <c r="B15" s="35" t="n"/>
      <c r="C15" s="35" t="n"/>
      <c r="D15" s="35" t="n"/>
      <c r="E15" s="35" t="n"/>
      <c r="F15" s="35" t="n"/>
      <c r="G15" s="36">
        <f>IFERROR(IF(F15="","",F15*VLOOKUP(E15,FX_Rates.$A$6:$B$11,2,0)),0)</f>
        <v/>
      </c>
      <c r="H15" s="35" t="n"/>
      <c r="I15" s="35" t="n"/>
      <c r="J15" s="35" t="n"/>
      <c r="K15" s="35" t="n"/>
      <c r="L15" s="35" t="n"/>
    </row>
    <row r="16">
      <c r="A16" s="35" t="n"/>
      <c r="B16" s="35" t="n"/>
      <c r="C16" s="35" t="n"/>
      <c r="D16" s="35" t="n"/>
      <c r="E16" s="35" t="n"/>
      <c r="F16" s="35" t="n"/>
      <c r="G16" s="36">
        <f>IFERROR(IF(F16="","",F16*VLOOKUP(E16,FX_Rates.$A$6:$B$11,2,0)),0)</f>
        <v/>
      </c>
      <c r="H16" s="35" t="n"/>
      <c r="I16" s="35" t="n"/>
      <c r="J16" s="35" t="n"/>
      <c r="K16" s="35" t="n"/>
      <c r="L16" s="35" t="n"/>
    </row>
    <row r="17">
      <c r="A17" s="35" t="n"/>
      <c r="B17" s="35" t="n"/>
      <c r="C17" s="35" t="n"/>
      <c r="D17" s="35" t="n"/>
      <c r="E17" s="35" t="n"/>
      <c r="F17" s="35" t="n"/>
      <c r="G17" s="36">
        <f>IFERROR(IF(F17="","",F17*VLOOKUP(E17,FX_Rates.$A$6:$B$11,2,0)),0)</f>
        <v/>
      </c>
      <c r="H17" s="35" t="n"/>
      <c r="I17" s="35" t="n"/>
      <c r="J17" s="35" t="n"/>
      <c r="K17" s="35" t="n"/>
      <c r="L17" s="35" t="n"/>
    </row>
    <row r="18">
      <c r="A18" s="35" t="n"/>
      <c r="B18" s="35" t="n"/>
      <c r="C18" s="35" t="n"/>
      <c r="D18" s="35" t="n"/>
      <c r="E18" s="35" t="n"/>
      <c r="F18" s="35" t="n"/>
      <c r="G18" s="36">
        <f>IFERROR(IF(F18="","",F18*VLOOKUP(E18,FX_Rates.$A$6:$B$11,2,0)),0)</f>
        <v/>
      </c>
      <c r="H18" s="35" t="n"/>
      <c r="I18" s="35" t="n"/>
      <c r="J18" s="35" t="n"/>
      <c r="K18" s="35" t="n"/>
      <c r="L18" s="35" t="n"/>
    </row>
    <row r="19">
      <c r="A19" s="35" t="n"/>
      <c r="B19" s="35" t="n"/>
      <c r="C19" s="35" t="n"/>
      <c r="D19" s="35" t="n"/>
      <c r="E19" s="35" t="n"/>
      <c r="F19" s="35" t="n"/>
      <c r="G19" s="36">
        <f>IFERROR(IF(F19="","",F19*VLOOKUP(E19,FX_Rates.$A$6:$B$11,2,0)),0)</f>
        <v/>
      </c>
      <c r="H19" s="35" t="n"/>
      <c r="I19" s="35" t="n"/>
      <c r="J19" s="35" t="n"/>
      <c r="K19" s="35" t="n"/>
      <c r="L19" s="35" t="n"/>
    </row>
    <row r="20">
      <c r="A20" s="35" t="n"/>
      <c r="B20" s="35" t="n"/>
      <c r="C20" s="35" t="n"/>
      <c r="D20" s="35" t="n"/>
      <c r="E20" s="35" t="n"/>
      <c r="F20" s="35" t="n"/>
      <c r="G20" s="36">
        <f>IFERROR(IF(F20="","",F20*VLOOKUP(E20,FX_Rates.$A$6:$B$11,2,0)),0)</f>
        <v/>
      </c>
      <c r="H20" s="35" t="n"/>
      <c r="I20" s="35" t="n"/>
      <c r="J20" s="35" t="n"/>
      <c r="K20" s="35" t="n"/>
      <c r="L20" s="35" t="n"/>
    </row>
    <row r="21">
      <c r="A21" s="35" t="n"/>
      <c r="B21" s="35" t="n"/>
      <c r="C21" s="35" t="n"/>
      <c r="D21" s="35" t="n"/>
      <c r="E21" s="35" t="n"/>
      <c r="F21" s="35" t="n"/>
      <c r="G21" s="36">
        <f>IFERROR(IF(F21="","",F21*VLOOKUP(E21,FX_Rates.$A$6:$B$11,2,0)),0)</f>
        <v/>
      </c>
      <c r="H21" s="35" t="n"/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6">
        <f>IFERROR(IF(F22="","",F22*VLOOKUP(E22,FX_Rates.$A$6:$B$11,2,0)),0)</f>
        <v/>
      </c>
      <c r="H22" s="35" t="n"/>
      <c r="I22" s="35" t="n"/>
      <c r="J22" s="35" t="n"/>
      <c r="K22" s="35" t="n"/>
      <c r="L22" s="35" t="n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8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</cols>
  <sheetData>
    <row r="1" ht="35" customHeight="1">
      <c r="A1" s="1" t="inlineStr">
        <is>
          <t>SOURCE DATA - VARIABLE EXPENSES</t>
        </is>
      </c>
    </row>
    <row r="3">
      <c r="A3" s="6" t="inlineStr">
        <is>
          <t>Var ID</t>
        </is>
      </c>
      <c r="B3" s="6" t="inlineStr">
        <is>
          <t>Vendor/Payee</t>
        </is>
      </c>
      <c r="C3" s="6" t="inlineStr">
        <is>
          <t>Expense Type</t>
        </is>
      </c>
      <c r="D3" s="6" t="inlineStr">
        <is>
          <t>Description</t>
        </is>
      </c>
      <c r="E3" s="6" t="inlineStr">
        <is>
          <t>Original CCY</t>
        </is>
      </c>
      <c r="F3" s="6" t="inlineStr">
        <is>
          <t>Amount (CCY)</t>
        </is>
      </c>
      <c r="G3" s="6" t="inlineStr">
        <is>
          <t>Amount (SAR)</t>
        </is>
      </c>
      <c r="H3" s="6" t="inlineStr">
        <is>
          <t>Due Date</t>
        </is>
      </c>
      <c r="I3" s="6" t="inlineStr">
        <is>
          <t>Cost Center</t>
        </is>
      </c>
      <c r="J3" s="6" t="inlineStr">
        <is>
          <t>Budget Code</t>
        </is>
      </c>
      <c r="K3" s="6" t="inlineStr">
        <is>
          <t>Status</t>
        </is>
      </c>
      <c r="L3" s="6" t="inlineStr">
        <is>
          <t>Approval Ref</t>
        </is>
      </c>
    </row>
    <row r="4">
      <c r="A4" s="37" t="inlineStr">
        <is>
          <t>VAR-001</t>
        </is>
      </c>
      <c r="B4" s="37" t="inlineStr">
        <is>
          <t>Travel Agency</t>
        </is>
      </c>
      <c r="C4" s="37" t="inlineStr">
        <is>
          <t>Travel</t>
        </is>
      </c>
      <c r="D4" s="37" t="inlineStr">
        <is>
          <t>Business Travel - Dec</t>
        </is>
      </c>
      <c r="E4" s="37" t="inlineStr">
        <is>
          <t>SAR</t>
        </is>
      </c>
      <c r="F4" s="30" t="n">
        <v>35000</v>
      </c>
      <c r="G4" s="30">
        <f>IFERROR(F4*VLOOKUP(E4,FX_Rates.$A$6:$B$11,2,0),0)</f>
        <v/>
      </c>
      <c r="H4" s="89" t="n">
        <v>45644</v>
      </c>
      <c r="I4" s="37" t="inlineStr">
        <is>
          <t>CC-SALES</t>
        </is>
      </c>
      <c r="J4" s="37" t="inlineStr">
        <is>
          <t>BUD-TRV-001</t>
        </is>
      </c>
      <c r="K4" s="37" t="inlineStr">
        <is>
          <t>PENDING</t>
        </is>
      </c>
      <c r="L4" s="37" t="inlineStr">
        <is>
          <t>APR-TRV-089</t>
        </is>
      </c>
    </row>
    <row r="5">
      <c r="A5" s="8" t="inlineStr">
        <is>
          <t>VAR-002</t>
        </is>
      </c>
      <c r="B5" s="8" t="inlineStr">
        <is>
          <t>Catering Co</t>
        </is>
      </c>
      <c r="C5" s="8" t="inlineStr">
        <is>
          <t>Events</t>
        </is>
      </c>
      <c r="D5" s="8" t="inlineStr">
        <is>
          <t>Year End Event Catering</t>
        </is>
      </c>
      <c r="E5" s="8" t="inlineStr">
        <is>
          <t>SAR</t>
        </is>
      </c>
      <c r="F5" s="33" t="n">
        <v>75000</v>
      </c>
      <c r="G5" s="33">
        <f>IFERROR(F5*VLOOKUP(E5,FX_Rates.$A$6:$B$11,2,0),0)</f>
        <v/>
      </c>
      <c r="H5" s="90" t="n">
        <v>45648</v>
      </c>
      <c r="I5" s="8" t="inlineStr">
        <is>
          <t>CC-HR</t>
        </is>
      </c>
      <c r="J5" s="8" t="inlineStr">
        <is>
          <t>BUD-EVT-002</t>
        </is>
      </c>
      <c r="K5" s="8" t="inlineStr">
        <is>
          <t>SCHEDULED</t>
        </is>
      </c>
      <c r="L5" s="8" t="inlineStr">
        <is>
          <t>APR-EVT-045</t>
        </is>
      </c>
    </row>
    <row r="6">
      <c r="A6" s="37" t="inlineStr">
        <is>
          <t>VAR-003</t>
        </is>
      </c>
      <c r="B6" s="37" t="inlineStr">
        <is>
          <t>Marketing Agency</t>
        </is>
      </c>
      <c r="C6" s="37" t="inlineStr">
        <is>
          <t>Marketing</t>
        </is>
      </c>
      <c r="D6" s="37" t="inlineStr">
        <is>
          <t>Q1 Campaign Materials</t>
        </is>
      </c>
      <c r="E6" s="37" t="inlineStr">
        <is>
          <t>SAR</t>
        </is>
      </c>
      <c r="F6" s="30" t="n">
        <v>125000</v>
      </c>
      <c r="G6" s="30">
        <f>IFERROR(F6*VLOOKUP(E6,FX_Rates.$A$6:$B$11,2,0),0)</f>
        <v/>
      </c>
      <c r="H6" s="89" t="n">
        <v>45662</v>
      </c>
      <c r="I6" s="37" t="inlineStr">
        <is>
          <t>CC-MKT</t>
        </is>
      </c>
      <c r="J6" s="37" t="inlineStr">
        <is>
          <t>BUD-MKT-003</t>
        </is>
      </c>
      <c r="K6" s="37" t="inlineStr">
        <is>
          <t>PENDING</t>
        </is>
      </c>
      <c r="L6" s="37" t="inlineStr">
        <is>
          <t>APR-MKT-112</t>
        </is>
      </c>
    </row>
    <row r="7">
      <c r="A7" s="8" t="inlineStr">
        <is>
          <t>VAR-004</t>
        </is>
      </c>
      <c r="B7" s="8" t="inlineStr">
        <is>
          <t>Consultant LLC</t>
        </is>
      </c>
      <c r="C7" s="8" t="inlineStr">
        <is>
          <t>Consulting</t>
        </is>
      </c>
      <c r="D7" s="8" t="inlineStr">
        <is>
          <t>Strategy Consulting</t>
        </is>
      </c>
      <c r="E7" s="8" t="inlineStr">
        <is>
          <t>GBP</t>
        </is>
      </c>
      <c r="F7" s="33" t="n">
        <v>28000</v>
      </c>
      <c r="G7" s="33">
        <f>IFERROR(F7*VLOOKUP(E7,FX_Rates.$A$6:$B$11,2,0),0)</f>
        <v/>
      </c>
      <c r="H7" s="90" t="n">
        <v>45667</v>
      </c>
      <c r="I7" s="8" t="inlineStr">
        <is>
          <t>CC-EXEC</t>
        </is>
      </c>
      <c r="J7" s="8" t="inlineStr">
        <is>
          <t>BUD-CON-001</t>
        </is>
      </c>
      <c r="K7" s="8" t="inlineStr">
        <is>
          <t>SCHEDULED</t>
        </is>
      </c>
      <c r="L7" s="8" t="inlineStr">
        <is>
          <t>APR-CON-078</t>
        </is>
      </c>
    </row>
    <row r="8">
      <c r="A8" s="35" t="n"/>
      <c r="B8" s="35" t="n"/>
      <c r="C8" s="35" t="n"/>
      <c r="D8" s="35" t="n"/>
      <c r="E8" s="35" t="n"/>
      <c r="F8" s="35" t="n"/>
      <c r="G8" s="36">
        <f>IFERROR(IF(F8="","",F8*VLOOKUP(E8,FX_Rates.$A$6:$B$11,2,0)),0)</f>
        <v/>
      </c>
      <c r="H8" s="35" t="n"/>
      <c r="I8" s="35" t="n"/>
      <c r="J8" s="35" t="n"/>
      <c r="K8" s="35" t="n"/>
      <c r="L8" s="35" t="n"/>
    </row>
    <row r="9">
      <c r="A9" s="35" t="n"/>
      <c r="B9" s="35" t="n"/>
      <c r="C9" s="35" t="n"/>
      <c r="D9" s="35" t="n"/>
      <c r="E9" s="35" t="n"/>
      <c r="F9" s="35" t="n"/>
      <c r="G9" s="36">
        <f>IFERROR(IF(F9="","",F9*VLOOKUP(E9,FX_Rates.$A$6:$B$11,2,0)),0)</f>
        <v/>
      </c>
      <c r="H9" s="35" t="n"/>
      <c r="I9" s="35" t="n"/>
      <c r="J9" s="35" t="n"/>
      <c r="K9" s="35" t="n"/>
      <c r="L9" s="35" t="n"/>
    </row>
    <row r="10">
      <c r="A10" s="35" t="n"/>
      <c r="B10" s="35" t="n"/>
      <c r="C10" s="35" t="n"/>
      <c r="D10" s="35" t="n"/>
      <c r="E10" s="35" t="n"/>
      <c r="F10" s="35" t="n"/>
      <c r="G10" s="36">
        <f>IFERROR(IF(F10="","",F10*VLOOKUP(E10,FX_Rates.$A$6:$B$11,2,0)),0)</f>
        <v/>
      </c>
      <c r="H10" s="35" t="n"/>
      <c r="I10" s="35" t="n"/>
      <c r="J10" s="35" t="n"/>
      <c r="K10" s="35" t="n"/>
      <c r="L10" s="35" t="n"/>
    </row>
    <row r="11">
      <c r="A11" s="35" t="n"/>
      <c r="B11" s="35" t="n"/>
      <c r="C11" s="35" t="n"/>
      <c r="D11" s="35" t="n"/>
      <c r="E11" s="35" t="n"/>
      <c r="F11" s="35" t="n"/>
      <c r="G11" s="36">
        <f>IFERROR(IF(F11="","",F11*VLOOKUP(E11,FX_Rates.$A$6:$B$11,2,0)),0)</f>
        <v/>
      </c>
      <c r="H11" s="35" t="n"/>
      <c r="I11" s="35" t="n"/>
      <c r="J11" s="35" t="n"/>
      <c r="K11" s="35" t="n"/>
      <c r="L11" s="35" t="n"/>
    </row>
    <row r="12">
      <c r="A12" s="35" t="n"/>
      <c r="B12" s="35" t="n"/>
      <c r="C12" s="35" t="n"/>
      <c r="D12" s="35" t="n"/>
      <c r="E12" s="35" t="n"/>
      <c r="F12" s="35" t="n"/>
      <c r="G12" s="36">
        <f>IFERROR(IF(F12="","",F12*VLOOKUP(E12,FX_Rates.$A$6:$B$11,2,0)),0)</f>
        <v/>
      </c>
      <c r="H12" s="35" t="n"/>
      <c r="I12" s="35" t="n"/>
      <c r="J12" s="35" t="n"/>
      <c r="K12" s="35" t="n"/>
      <c r="L12" s="35" t="n"/>
    </row>
    <row r="13">
      <c r="A13" s="35" t="n"/>
      <c r="B13" s="35" t="n"/>
      <c r="C13" s="35" t="n"/>
      <c r="D13" s="35" t="n"/>
      <c r="E13" s="35" t="n"/>
      <c r="F13" s="35" t="n"/>
      <c r="G13" s="36">
        <f>IFERROR(IF(F13="","",F13*VLOOKUP(E13,FX_Rates.$A$6:$B$11,2,0)),0)</f>
        <v/>
      </c>
      <c r="H13" s="35" t="n"/>
      <c r="I13" s="35" t="n"/>
      <c r="J13" s="35" t="n"/>
      <c r="K13" s="35" t="n"/>
      <c r="L13" s="35" t="n"/>
    </row>
    <row r="14">
      <c r="A14" s="35" t="n"/>
      <c r="B14" s="35" t="n"/>
      <c r="C14" s="35" t="n"/>
      <c r="D14" s="35" t="n"/>
      <c r="E14" s="35" t="n"/>
      <c r="F14" s="35" t="n"/>
      <c r="G14" s="36">
        <f>IFERROR(IF(F14="","",F14*VLOOKUP(E14,FX_Rates.$A$6:$B$11,2,0)),0)</f>
        <v/>
      </c>
      <c r="H14" s="35" t="n"/>
      <c r="I14" s="35" t="n"/>
      <c r="J14" s="35" t="n"/>
      <c r="K14" s="35" t="n"/>
      <c r="L14" s="35" t="n"/>
    </row>
    <row r="15">
      <c r="A15" s="35" t="n"/>
      <c r="B15" s="35" t="n"/>
      <c r="C15" s="35" t="n"/>
      <c r="D15" s="35" t="n"/>
      <c r="E15" s="35" t="n"/>
      <c r="F15" s="35" t="n"/>
      <c r="G15" s="36">
        <f>IFERROR(IF(F15="","",F15*VLOOKUP(E15,FX_Rates.$A$6:$B$11,2,0)),0)</f>
        <v/>
      </c>
      <c r="H15" s="35" t="n"/>
      <c r="I15" s="35" t="n"/>
      <c r="J15" s="35" t="n"/>
      <c r="K15" s="35" t="n"/>
      <c r="L15" s="35" t="n"/>
    </row>
    <row r="16">
      <c r="A16" s="35" t="n"/>
      <c r="B16" s="35" t="n"/>
      <c r="C16" s="35" t="n"/>
      <c r="D16" s="35" t="n"/>
      <c r="E16" s="35" t="n"/>
      <c r="F16" s="35" t="n"/>
      <c r="G16" s="36">
        <f>IFERROR(IF(F16="","",F16*VLOOKUP(E16,FX_Rates.$A$6:$B$11,2,0)),0)</f>
        <v/>
      </c>
      <c r="H16" s="35" t="n"/>
      <c r="I16" s="35" t="n"/>
      <c r="J16" s="35" t="n"/>
      <c r="K16" s="35" t="n"/>
      <c r="L16" s="35" t="n"/>
    </row>
    <row r="17">
      <c r="A17" s="35" t="n"/>
      <c r="B17" s="35" t="n"/>
      <c r="C17" s="35" t="n"/>
      <c r="D17" s="35" t="n"/>
      <c r="E17" s="35" t="n"/>
      <c r="F17" s="35" t="n"/>
      <c r="G17" s="36">
        <f>IFERROR(IF(F17="","",F17*VLOOKUP(E17,FX_Rates.$A$6:$B$11,2,0)),0)</f>
        <v/>
      </c>
      <c r="H17" s="35" t="n"/>
      <c r="I17" s="35" t="n"/>
      <c r="J17" s="35" t="n"/>
      <c r="K17" s="35" t="n"/>
      <c r="L17" s="35" t="n"/>
    </row>
    <row r="18">
      <c r="A18" s="35" t="n"/>
      <c r="B18" s="35" t="n"/>
      <c r="C18" s="35" t="n"/>
      <c r="D18" s="35" t="n"/>
      <c r="E18" s="35" t="n"/>
      <c r="F18" s="35" t="n"/>
      <c r="G18" s="36">
        <f>IFERROR(IF(F18="","",F18*VLOOKUP(E18,FX_Rates.$A$6:$B$11,2,0)),0)</f>
        <v/>
      </c>
      <c r="H18" s="35" t="n"/>
      <c r="I18" s="35" t="n"/>
      <c r="J18" s="35" t="n"/>
      <c r="K18" s="35" t="n"/>
      <c r="L18" s="35" t="n"/>
    </row>
    <row r="19">
      <c r="A19" s="35" t="n"/>
      <c r="B19" s="35" t="n"/>
      <c r="C19" s="35" t="n"/>
      <c r="D19" s="35" t="n"/>
      <c r="E19" s="35" t="n"/>
      <c r="F19" s="35" t="n"/>
      <c r="G19" s="36">
        <f>IFERROR(IF(F19="","",F19*VLOOKUP(E19,FX_Rates.$A$6:$B$11,2,0)),0)</f>
        <v/>
      </c>
      <c r="H19" s="35" t="n"/>
      <c r="I19" s="35" t="n"/>
      <c r="J19" s="35" t="n"/>
      <c r="K19" s="35" t="n"/>
      <c r="L19" s="35" t="n"/>
    </row>
    <row r="20">
      <c r="A20" s="35" t="n"/>
      <c r="B20" s="35" t="n"/>
      <c r="C20" s="35" t="n"/>
      <c r="D20" s="35" t="n"/>
      <c r="E20" s="35" t="n"/>
      <c r="F20" s="35" t="n"/>
      <c r="G20" s="36">
        <f>IFERROR(IF(F20="","",F20*VLOOKUP(E20,FX_Rates.$A$6:$B$11,2,0)),0)</f>
        <v/>
      </c>
      <c r="H20" s="35" t="n"/>
      <c r="I20" s="35" t="n"/>
      <c r="J20" s="35" t="n"/>
      <c r="K20" s="35" t="n"/>
      <c r="L20" s="35" t="n"/>
    </row>
    <row r="21">
      <c r="A21" s="35" t="n"/>
      <c r="B21" s="35" t="n"/>
      <c r="C21" s="35" t="n"/>
      <c r="D21" s="35" t="n"/>
      <c r="E21" s="35" t="n"/>
      <c r="F21" s="35" t="n"/>
      <c r="G21" s="36">
        <f>IFERROR(IF(F21="","",F21*VLOOKUP(E21,FX_Rates.$A$6:$B$11,2,0)),0)</f>
        <v/>
      </c>
      <c r="H21" s="35" t="n"/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6">
        <f>IFERROR(IF(F22="","",F22*VLOOKUP(E22,FX_Rates.$A$6:$B$11,2,0)),0)</f>
        <v/>
      </c>
      <c r="H22" s="35" t="n"/>
      <c r="I22" s="35" t="n"/>
      <c r="J22" s="35" t="n"/>
      <c r="K22" s="35" t="n"/>
      <c r="L22" s="35" t="n"/>
    </row>
    <row r="23">
      <c r="A23" s="35" t="n"/>
      <c r="B23" s="35" t="n"/>
      <c r="C23" s="35" t="n"/>
      <c r="D23" s="35" t="n"/>
      <c r="E23" s="35" t="n"/>
      <c r="F23" s="35" t="n"/>
      <c r="G23" s="36">
        <f>IFERROR(IF(F23="","",F23*VLOOKUP(E23,FX_Rates.$A$6:$B$11,2,0)),0)</f>
        <v/>
      </c>
      <c r="H23" s="35" t="n"/>
      <c r="I23" s="35" t="n"/>
      <c r="J23" s="35" t="n"/>
      <c r="K23" s="35" t="n"/>
      <c r="L23" s="35" t="n"/>
    </row>
    <row r="24">
      <c r="A24" s="35" t="n"/>
      <c r="B24" s="35" t="n"/>
      <c r="C24" s="35" t="n"/>
      <c r="D24" s="35" t="n"/>
      <c r="E24" s="35" t="n"/>
      <c r="F24" s="35" t="n"/>
      <c r="G24" s="36">
        <f>IFERROR(IF(F24="","",F24*VLOOKUP(E24,FX_Rates.$A$6:$B$11,2,0)),0)</f>
        <v/>
      </c>
      <c r="H24" s="35" t="n"/>
      <c r="I24" s="35" t="n"/>
      <c r="J24" s="35" t="n"/>
      <c r="K24" s="35" t="n"/>
      <c r="L24" s="35" t="n"/>
    </row>
    <row r="25">
      <c r="A25" s="35" t="n"/>
      <c r="B25" s="35" t="n"/>
      <c r="C25" s="35" t="n"/>
      <c r="D25" s="35" t="n"/>
      <c r="E25" s="35" t="n"/>
      <c r="F25" s="35" t="n"/>
      <c r="G25" s="36">
        <f>IFERROR(IF(F25="","",F25*VLOOKUP(E25,FX_Rates.$A$6:$B$11,2,0)),0)</f>
        <v/>
      </c>
      <c r="H25" s="35" t="n"/>
      <c r="I25" s="35" t="n"/>
      <c r="J25" s="35" t="n"/>
      <c r="K25" s="35" t="n"/>
      <c r="L25" s="35" t="n"/>
    </row>
    <row r="26">
      <c r="A26" s="35" t="n"/>
      <c r="B26" s="35" t="n"/>
      <c r="C26" s="35" t="n"/>
      <c r="D26" s="35" t="n"/>
      <c r="E26" s="35" t="n"/>
      <c r="F26" s="35" t="n"/>
      <c r="G26" s="36">
        <f>IFERROR(IF(F26="","",F26*VLOOKUP(E26,FX_Rates.$A$6:$B$11,2,0)),0)</f>
        <v/>
      </c>
      <c r="H26" s="35" t="n"/>
      <c r="I26" s="35" t="n"/>
      <c r="J26" s="35" t="n"/>
      <c r="K26" s="35" t="n"/>
      <c r="L26" s="35" t="n"/>
    </row>
    <row r="27">
      <c r="A27" s="35" t="n"/>
      <c r="B27" s="35" t="n"/>
      <c r="C27" s="35" t="n"/>
      <c r="D27" s="35" t="n"/>
      <c r="E27" s="35" t="n"/>
      <c r="F27" s="35" t="n"/>
      <c r="G27" s="36">
        <f>IFERROR(IF(F27="","",F27*VLOOKUP(E27,FX_Rates.$A$6:$B$11,2,0)),0)</f>
        <v/>
      </c>
      <c r="H27" s="35" t="n"/>
      <c r="I27" s="35" t="n"/>
      <c r="J27" s="35" t="n"/>
      <c r="K27" s="35" t="n"/>
      <c r="L27" s="35" t="n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2" customWidth="1" min="4" max="4"/>
    <col width="12" customWidth="1" min="5" max="5"/>
    <col width="18" customWidth="1" min="6" max="6"/>
    <col width="15" customWidth="1" min="7" max="7"/>
    <col width="18" customWidth="1" min="8" max="8"/>
    <col width="12" customWidth="1" min="9" max="9"/>
    <col width="12" customWidth="1" min="10" max="10"/>
    <col width="10" customWidth="1" min="11" max="11"/>
    <col width="12" customWidth="1" min="12" max="12"/>
  </cols>
  <sheetData>
    <row r="1" ht="35" customHeight="1">
      <c r="A1" s="1" t="inlineStr">
        <is>
          <t>SOURCE DATA - DEPOSIT MATURITIES &amp; INVESTMENTS</t>
        </is>
      </c>
    </row>
    <row r="3">
      <c r="A3" s="6" t="inlineStr">
        <is>
          <t>Deposit ID</t>
        </is>
      </c>
      <c r="B3" s="6" t="inlineStr">
        <is>
          <t>Bank/Institution</t>
        </is>
      </c>
      <c r="C3" s="6" t="inlineStr">
        <is>
          <t>Instrument Type</t>
        </is>
      </c>
      <c r="D3" s="6" t="inlineStr">
        <is>
          <t>Description</t>
        </is>
      </c>
      <c r="E3" s="6" t="inlineStr">
        <is>
          <t>Original CCY</t>
        </is>
      </c>
      <c r="F3" s="6" t="inlineStr">
        <is>
          <t>Principal (CCY)</t>
        </is>
      </c>
      <c r="G3" s="6" t="inlineStr">
        <is>
          <t>Interest (CCY)</t>
        </is>
      </c>
      <c r="H3" s="6" t="inlineStr">
        <is>
          <t>Total (SAR)</t>
        </is>
      </c>
      <c r="I3" s="6" t="inlineStr">
        <is>
          <t>Maturity Date</t>
        </is>
      </c>
      <c r="J3" s="6" t="inlineStr">
        <is>
          <t>Term (Days)</t>
        </is>
      </c>
      <c r="K3" s="6" t="inlineStr">
        <is>
          <t>Rate %</t>
        </is>
      </c>
      <c r="L3" s="6" t="inlineStr">
        <is>
          <t>Auto-Rollover</t>
        </is>
      </c>
    </row>
    <row r="4">
      <c r="A4" s="37" t="inlineStr">
        <is>
          <t>DEP-001</t>
        </is>
      </c>
      <c r="B4" s="37" t="inlineStr">
        <is>
          <t>Saudi National Bank</t>
        </is>
      </c>
      <c r="C4" s="37" t="inlineStr">
        <is>
          <t>Time Deposit</t>
        </is>
      </c>
      <c r="D4" s="37" t="inlineStr">
        <is>
          <t>90-Day TD</t>
        </is>
      </c>
      <c r="E4" s="37" t="inlineStr">
        <is>
          <t>SAR</t>
        </is>
      </c>
      <c r="F4" s="30" t="n">
        <v>5000000</v>
      </c>
      <c r="G4" s="30" t="n">
        <v>62500</v>
      </c>
      <c r="H4" s="30">
        <f>IFERROR((F4+G4)*VLOOKUP(E4,FX_Rates.$A$6:$B$11,2,0),0)</f>
        <v/>
      </c>
      <c r="I4" s="89" t="n">
        <v>45646</v>
      </c>
      <c r="J4" s="37" t="n">
        <v>90</v>
      </c>
      <c r="K4" s="38" t="n">
        <v>5</v>
      </c>
      <c r="L4" s="37" t="inlineStr">
        <is>
          <t>No</t>
        </is>
      </c>
    </row>
    <row r="5">
      <c r="A5" s="8" t="inlineStr">
        <is>
          <t>DEP-002</t>
        </is>
      </c>
      <c r="B5" s="8" t="inlineStr">
        <is>
          <t>Al Rajhi Bank</t>
        </is>
      </c>
      <c r="C5" s="8" t="inlineStr">
        <is>
          <t>Mudaraba</t>
        </is>
      </c>
      <c r="D5" s="8" t="inlineStr">
        <is>
          <t>Islamic Investment Account</t>
        </is>
      </c>
      <c r="E5" s="8" t="inlineStr">
        <is>
          <t>SAR</t>
        </is>
      </c>
      <c r="F5" s="33" t="n">
        <v>3000000</v>
      </c>
      <c r="G5" s="33" t="n">
        <v>45000</v>
      </c>
      <c r="H5" s="33">
        <f>IFERROR((F5+G5)*VLOOKUP(E5,FX_Rates.$A$6:$B$11,2,0),0)</f>
        <v/>
      </c>
      <c r="I5" s="90" t="n">
        <v>45654</v>
      </c>
      <c r="J5" s="8" t="n">
        <v>180</v>
      </c>
      <c r="K5" s="39" t="n">
        <v>6</v>
      </c>
      <c r="L5" s="8" t="inlineStr">
        <is>
          <t>Yes</t>
        </is>
      </c>
    </row>
    <row r="6">
      <c r="A6" s="37" t="inlineStr">
        <is>
          <t>DEP-003</t>
        </is>
      </c>
      <c r="B6" s="37" t="inlineStr">
        <is>
          <t>HSBC</t>
        </is>
      </c>
      <c r="C6" s="37" t="inlineStr">
        <is>
          <t>Money Market</t>
        </is>
      </c>
      <c r="D6" s="37" t="inlineStr">
        <is>
          <t>USD Money Market Fund</t>
        </is>
      </c>
      <c r="E6" s="37" t="inlineStr">
        <is>
          <t>USD</t>
        </is>
      </c>
      <c r="F6" s="30" t="n">
        <v>1000000</v>
      </c>
      <c r="G6" s="30" t="n">
        <v>12500</v>
      </c>
      <c r="H6" s="30">
        <f>IFERROR((F6+G6)*VLOOKUP(E6,FX_Rates.$A$6:$B$11,2,0),0)</f>
        <v/>
      </c>
      <c r="I6" s="89" t="n">
        <v>45672</v>
      </c>
      <c r="J6" s="37" t="n">
        <v>60</v>
      </c>
      <c r="K6" s="38" t="n">
        <v>5</v>
      </c>
      <c r="L6" s="37" t="inlineStr">
        <is>
          <t>Yes</t>
        </is>
      </c>
    </row>
    <row r="7">
      <c r="A7" s="8" t="inlineStr">
        <is>
          <t>DEP-004</t>
        </is>
      </c>
      <c r="B7" s="8" t="inlineStr">
        <is>
          <t>Riyad Bank</t>
        </is>
      </c>
      <c r="C7" s="8" t="inlineStr">
        <is>
          <t>Sukuk</t>
        </is>
      </c>
      <c r="D7" s="8" t="inlineStr">
        <is>
          <t>Government Sukuk</t>
        </is>
      </c>
      <c r="E7" s="8" t="inlineStr">
        <is>
          <t>SAR</t>
        </is>
      </c>
      <c r="F7" s="33" t="n">
        <v>2500000</v>
      </c>
      <c r="G7" s="33" t="n">
        <v>75000</v>
      </c>
      <c r="H7" s="33">
        <f>IFERROR((F7+G7)*VLOOKUP(E7,FX_Rates.$A$6:$B$11,2,0),0)</f>
        <v/>
      </c>
      <c r="I7" s="90" t="n">
        <v>45687</v>
      </c>
      <c r="J7" s="8" t="n">
        <v>365</v>
      </c>
      <c r="K7" s="39" t="n">
        <v>6</v>
      </c>
      <c r="L7" s="8" t="inlineStr">
        <is>
          <t>No</t>
        </is>
      </c>
    </row>
    <row r="8">
      <c r="A8" s="35" t="n"/>
      <c r="B8" s="35" t="n"/>
      <c r="C8" s="35" t="n"/>
      <c r="D8" s="35" t="n"/>
      <c r="E8" s="35" t="n"/>
      <c r="F8" s="35" t="n"/>
      <c r="G8" s="35" t="n"/>
      <c r="H8" s="36">
        <f>IFERROR(IF(F8="","",IF(G8="",(F8)*VLOOKUP(E8,FX_Rates.$A$6:$B$11,2,0),(F8+G8)*VLOOKUP(E8,FX_Rates.$A$6:$B$11,2,0))),0)</f>
        <v/>
      </c>
      <c r="I8" s="35" t="n"/>
      <c r="J8" s="35" t="n"/>
      <c r="K8" s="35" t="n"/>
      <c r="L8" s="35" t="n"/>
    </row>
    <row r="9">
      <c r="A9" s="35" t="n"/>
      <c r="B9" s="35" t="n"/>
      <c r="C9" s="35" t="n"/>
      <c r="D9" s="35" t="n"/>
      <c r="E9" s="35" t="n"/>
      <c r="F9" s="35" t="n"/>
      <c r="G9" s="35" t="n"/>
      <c r="H9" s="36">
        <f>IFERROR(IF(F9="","",IF(G9="",(F9)*VLOOKUP(E9,FX_Rates.$A$6:$B$11,2,0),(F9+G9)*VLOOKUP(E9,FX_Rates.$A$6:$B$11,2,0))),0)</f>
        <v/>
      </c>
      <c r="I9" s="35" t="n"/>
      <c r="J9" s="35" t="n"/>
      <c r="K9" s="35" t="n"/>
      <c r="L9" s="3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6">
        <f>IFERROR(IF(F10="","",IF(G10="",(F10)*VLOOKUP(E10,FX_Rates.$A$6:$B$11,2,0),(F10+G10)*VLOOKUP(E10,FX_Rates.$A$6:$B$11,2,0))),0)</f>
        <v/>
      </c>
      <c r="I10" s="35" t="n"/>
      <c r="J10" s="35" t="n"/>
      <c r="K10" s="35" t="n"/>
      <c r="L10" s="3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36">
        <f>IFERROR(IF(F11="","",IF(G11="",(F11)*VLOOKUP(E11,FX_Rates.$A$6:$B$11,2,0),(F11+G11)*VLOOKUP(E11,FX_Rates.$A$6:$B$11,2,0))),0)</f>
        <v/>
      </c>
      <c r="I11" s="35" t="n"/>
      <c r="J11" s="35" t="n"/>
      <c r="K11" s="35" t="n"/>
      <c r="L11" s="35" t="n"/>
    </row>
    <row r="12">
      <c r="A12" s="35" t="n"/>
      <c r="B12" s="35" t="n"/>
      <c r="C12" s="35" t="n"/>
      <c r="D12" s="35" t="n"/>
      <c r="E12" s="35" t="n"/>
      <c r="F12" s="35" t="n"/>
      <c r="G12" s="35" t="n"/>
      <c r="H12" s="36">
        <f>IFERROR(IF(F12="","",IF(G12="",(F12)*VLOOKUP(E12,FX_Rates.$A$6:$B$11,2,0),(F12+G12)*VLOOKUP(E12,FX_Rates.$A$6:$B$11,2,0))),0)</f>
        <v/>
      </c>
      <c r="I12" s="35" t="n"/>
      <c r="J12" s="35" t="n"/>
      <c r="K12" s="35" t="n"/>
      <c r="L12" s="35" t="n"/>
    </row>
    <row r="13">
      <c r="A13" s="35" t="n"/>
      <c r="B13" s="35" t="n"/>
      <c r="C13" s="35" t="n"/>
      <c r="D13" s="35" t="n"/>
      <c r="E13" s="35" t="n"/>
      <c r="F13" s="35" t="n"/>
      <c r="G13" s="35" t="n"/>
      <c r="H13" s="36">
        <f>IFERROR(IF(F13="","",IF(G13="",(F13)*VLOOKUP(E13,FX_Rates.$A$6:$B$11,2,0),(F13+G13)*VLOOKUP(E13,FX_Rates.$A$6:$B$11,2,0))),0)</f>
        <v/>
      </c>
      <c r="I13" s="35" t="n"/>
      <c r="J13" s="35" t="n"/>
      <c r="K13" s="35" t="n"/>
      <c r="L13" s="35" t="n"/>
    </row>
    <row r="14">
      <c r="A14" s="35" t="n"/>
      <c r="B14" s="35" t="n"/>
      <c r="C14" s="35" t="n"/>
      <c r="D14" s="35" t="n"/>
      <c r="E14" s="35" t="n"/>
      <c r="F14" s="35" t="n"/>
      <c r="G14" s="35" t="n"/>
      <c r="H14" s="36">
        <f>IFERROR(IF(F14="","",IF(G14="",(F14)*VLOOKUP(E14,FX_Rates.$A$6:$B$11,2,0),(F14+G14)*VLOOKUP(E14,FX_Rates.$A$6:$B$11,2,0))),0)</f>
        <v/>
      </c>
      <c r="I14" s="35" t="n"/>
      <c r="J14" s="35" t="n"/>
      <c r="K14" s="35" t="n"/>
      <c r="L14" s="35" t="n"/>
    </row>
    <row r="15">
      <c r="A15" s="35" t="n"/>
      <c r="B15" s="35" t="n"/>
      <c r="C15" s="35" t="n"/>
      <c r="D15" s="35" t="n"/>
      <c r="E15" s="35" t="n"/>
      <c r="F15" s="35" t="n"/>
      <c r="G15" s="35" t="n"/>
      <c r="H15" s="36">
        <f>IFERROR(IF(F15="","",IF(G15="",(F15)*VLOOKUP(E15,FX_Rates.$A$6:$B$11,2,0),(F15+G15)*VLOOKUP(E15,FX_Rates.$A$6:$B$11,2,0))),0)</f>
        <v/>
      </c>
      <c r="I15" s="35" t="n"/>
      <c r="J15" s="35" t="n"/>
      <c r="K15" s="35" t="n"/>
      <c r="L15" s="35" t="n"/>
    </row>
    <row r="16">
      <c r="A16" s="35" t="n"/>
      <c r="B16" s="35" t="n"/>
      <c r="C16" s="35" t="n"/>
      <c r="D16" s="35" t="n"/>
      <c r="E16" s="35" t="n"/>
      <c r="F16" s="35" t="n"/>
      <c r="G16" s="35" t="n"/>
      <c r="H16" s="36">
        <f>IFERROR(IF(F16="","",IF(G16="",(F16)*VLOOKUP(E16,FX_Rates.$A$6:$B$11,2,0),(F16+G16)*VLOOKUP(E16,FX_Rates.$A$6:$B$11,2,0))),0)</f>
        <v/>
      </c>
      <c r="I16" s="35" t="n"/>
      <c r="J16" s="35" t="n"/>
      <c r="K16" s="35" t="n"/>
      <c r="L16" s="3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6">
        <f>IFERROR(IF(F17="","",IF(G17="",(F17)*VLOOKUP(E17,FX_Rates.$A$6:$B$11,2,0),(F17+G17)*VLOOKUP(E17,FX_Rates.$A$6:$B$11,2,0))),0)</f>
        <v/>
      </c>
      <c r="I17" s="35" t="n"/>
      <c r="J17" s="35" t="n"/>
      <c r="K17" s="35" t="n"/>
      <c r="L17" s="3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6">
        <f>IFERROR(IF(F18="","",IF(G18="",(F18)*VLOOKUP(E18,FX_Rates.$A$6:$B$11,2,0),(F18+G18)*VLOOKUP(E18,FX_Rates.$A$6:$B$11,2,0))),0)</f>
        <v/>
      </c>
      <c r="I18" s="35" t="n"/>
      <c r="J18" s="35" t="n"/>
      <c r="K18" s="35" t="n"/>
      <c r="L18" s="3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36">
        <f>IFERROR(IF(F19="","",IF(G19="",(F19)*VLOOKUP(E19,FX_Rates.$A$6:$B$11,2,0),(F19+G19)*VLOOKUP(E19,FX_Rates.$A$6:$B$11,2,0))),0)</f>
        <v/>
      </c>
      <c r="I19" s="35" t="n"/>
      <c r="J19" s="35" t="n"/>
      <c r="K19" s="35" t="n"/>
      <c r="L19" s="3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6">
        <f>IFERROR(IF(F20="","",IF(G20="",(F20)*VLOOKUP(E20,FX_Rates.$A$6:$B$11,2,0),(F20+G20)*VLOOKUP(E20,FX_Rates.$A$6:$B$11,2,0))),0)</f>
        <v/>
      </c>
      <c r="I20" s="35" t="n"/>
      <c r="J20" s="35" t="n"/>
      <c r="K20" s="35" t="n"/>
      <c r="L20" s="35" t="n"/>
    </row>
    <row r="21">
      <c r="A21" s="35" t="n"/>
      <c r="B21" s="35" t="n"/>
      <c r="C21" s="35" t="n"/>
      <c r="D21" s="35" t="n"/>
      <c r="E21" s="35" t="n"/>
      <c r="F21" s="35" t="n"/>
      <c r="G21" s="35" t="n"/>
      <c r="H21" s="36">
        <f>IFERROR(IF(F21="","",IF(G21="",(F21)*VLOOKUP(E21,FX_Rates.$A$6:$B$11,2,0),(F21+G21)*VLOOKUP(E21,FX_Rates.$A$6:$B$11,2,0))),0)</f>
        <v/>
      </c>
      <c r="I21" s="35" t="n"/>
      <c r="J21" s="35" t="n"/>
      <c r="K21" s="35" t="n"/>
      <c r="L21" s="35" t="n"/>
    </row>
    <row r="22">
      <c r="A22" s="35" t="n"/>
      <c r="B22" s="35" t="n"/>
      <c r="C22" s="35" t="n"/>
      <c r="D22" s="35" t="n"/>
      <c r="E22" s="35" t="n"/>
      <c r="F22" s="35" t="n"/>
      <c r="G22" s="35" t="n"/>
      <c r="H22" s="36">
        <f>IFERROR(IF(F22="","",IF(G22="",(F22)*VLOOKUP(E22,FX_Rates.$A$6:$B$11,2,0),(F22+G22)*VLOOKUP(E22,FX_Rates.$A$6:$B$11,2,0))),0)</f>
        <v/>
      </c>
      <c r="I22" s="35" t="n"/>
      <c r="J22" s="35" t="n"/>
      <c r="K22" s="35" t="n"/>
      <c r="L22" s="35" t="n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8" customWidth="1" min="4" max="4"/>
    <col width="18" customWidth="1" min="5" max="5"/>
    <col width="25" customWidth="1" min="6" max="6"/>
    <col width="18" customWidth="1" min="7" max="7"/>
    <col width="20" customWidth="1" min="8" max="8"/>
    <col width="18" customWidth="1" min="9" max="9"/>
    <col width="28" customWidth="1" min="10" max="10"/>
    <col width="12" customWidth="1" min="11" max="11"/>
    <col width="12" customWidth="1" min="12" max="12"/>
    <col width="8" customWidth="1" min="13" max="13"/>
    <col width="10" customWidth="1" min="14" max="14"/>
  </cols>
  <sheetData>
    <row r="1" ht="35" customHeight="1">
      <c r="A1" s="1" t="inlineStr">
        <is>
          <t>VENDOR &amp; PAYEE MASTER LIST</t>
        </is>
      </c>
    </row>
    <row r="3">
      <c r="A3" s="6" t="inlineStr">
        <is>
          <t>Vendor ID</t>
        </is>
      </c>
      <c r="B3" s="6" t="inlineStr">
        <is>
          <t>Vendor Name</t>
        </is>
      </c>
      <c r="C3" s="6" t="inlineStr">
        <is>
          <t>Category</t>
        </is>
      </c>
      <c r="D3" s="6" t="inlineStr">
        <is>
          <t>Sub-Category</t>
        </is>
      </c>
      <c r="E3" s="6" t="inlineStr">
        <is>
          <t>Contact Person</t>
        </is>
      </c>
      <c r="F3" s="6" t="inlineStr">
        <is>
          <t>Email</t>
        </is>
      </c>
      <c r="G3" s="6" t="inlineStr">
        <is>
          <t>Phone</t>
        </is>
      </c>
      <c r="H3" s="6" t="inlineStr">
        <is>
          <t>Bank Name</t>
        </is>
      </c>
      <c r="I3" s="6" t="inlineStr">
        <is>
          <t>Account Number</t>
        </is>
      </c>
      <c r="J3" s="6" t="inlineStr">
        <is>
          <t>IBAN</t>
        </is>
      </c>
      <c r="K3" s="6" t="inlineStr">
        <is>
          <t>Default CCY</t>
        </is>
      </c>
      <c r="L3" s="6" t="inlineStr">
        <is>
          <t>Payment Terms</t>
        </is>
      </c>
      <c r="M3" s="6" t="inlineStr">
        <is>
          <t>Active</t>
        </is>
      </c>
      <c r="N3" s="6" t="inlineStr">
        <is>
          <t>Sort Order</t>
        </is>
      </c>
    </row>
    <row r="4">
      <c r="A4" s="28" t="inlineStr">
        <is>
          <t>VND-001</t>
        </is>
      </c>
      <c r="B4" s="29" t="inlineStr">
        <is>
          <t>Saudi Electricity Company</t>
        </is>
      </c>
      <c r="C4" s="40" t="inlineStr">
        <is>
          <t>VENDOR</t>
        </is>
      </c>
      <c r="D4" s="28" t="inlineStr">
        <is>
          <t>Utilities</t>
        </is>
      </c>
      <c r="E4" s="29" t="inlineStr">
        <is>
          <t>Finance Dept</t>
        </is>
      </c>
      <c r="F4" s="29" t="inlineStr">
        <is>
          <t>billing@sec.com.sa</t>
        </is>
      </c>
      <c r="G4" s="29" t="inlineStr">
        <is>
          <t>+966-11-123-4567</t>
        </is>
      </c>
      <c r="H4" s="29" t="inlineStr">
        <is>
          <t>Saudi National Bank</t>
        </is>
      </c>
      <c r="I4" s="29" t="inlineStr">
        <is>
          <t>1234567890</t>
        </is>
      </c>
      <c r="J4" s="29" t="inlineStr">
        <is>
          <t>SA1234567890123456789012</t>
        </is>
      </c>
      <c r="K4" s="28" t="inlineStr">
        <is>
          <t>SAR</t>
        </is>
      </c>
      <c r="L4" s="28" t="inlineStr">
        <is>
          <t>Net 30</t>
        </is>
      </c>
      <c r="M4" s="28" t="inlineStr">
        <is>
          <t>Yes</t>
        </is>
      </c>
      <c r="N4" s="28" t="n">
        <v>1</v>
      </c>
    </row>
    <row r="5">
      <c r="A5" s="10" t="inlineStr">
        <is>
          <t>VND-002</t>
        </is>
      </c>
      <c r="B5" s="32" t="inlineStr">
        <is>
          <t>Saudi Telecom (STC)</t>
        </is>
      </c>
      <c r="C5" s="40" t="inlineStr">
        <is>
          <t>VENDOR</t>
        </is>
      </c>
      <c r="D5" s="10" t="inlineStr">
        <is>
          <t>Telecom</t>
        </is>
      </c>
      <c r="E5" s="32" t="inlineStr">
        <is>
          <t>Corporate Sales</t>
        </is>
      </c>
      <c r="F5" s="32" t="inlineStr">
        <is>
          <t>corporate@stc.com.sa</t>
        </is>
      </c>
      <c r="G5" s="32" t="inlineStr">
        <is>
          <t>+966-11-234-5678</t>
        </is>
      </c>
      <c r="H5" s="32" t="inlineStr">
        <is>
          <t>Al Rajhi Bank</t>
        </is>
      </c>
      <c r="I5" s="32" t="inlineStr">
        <is>
          <t>2345678901</t>
        </is>
      </c>
      <c r="J5" s="32" t="inlineStr">
        <is>
          <t>SA2345678901234567890123</t>
        </is>
      </c>
      <c r="K5" s="10" t="inlineStr">
        <is>
          <t>SAR</t>
        </is>
      </c>
      <c r="L5" s="10" t="inlineStr">
        <is>
          <t>Net 15</t>
        </is>
      </c>
      <c r="M5" s="10" t="inlineStr">
        <is>
          <t>Yes</t>
        </is>
      </c>
      <c r="N5" s="10" t="n">
        <v>2</v>
      </c>
    </row>
    <row r="6">
      <c r="A6" s="28" t="inlineStr">
        <is>
          <t>VND-003</t>
        </is>
      </c>
      <c r="B6" s="29" t="inlineStr">
        <is>
          <t>Water Authority</t>
        </is>
      </c>
      <c r="C6" s="40" t="inlineStr">
        <is>
          <t>VENDOR</t>
        </is>
      </c>
      <c r="D6" s="28" t="inlineStr">
        <is>
          <t>Utilities</t>
        </is>
      </c>
      <c r="E6" s="29" t="inlineStr">
        <is>
          <t>Collections</t>
        </is>
      </c>
      <c r="F6" s="29" t="inlineStr">
        <is>
          <t>billing@nwc.com.sa</t>
        </is>
      </c>
      <c r="G6" s="29" t="inlineStr">
        <is>
          <t>+966-11-345-6789</t>
        </is>
      </c>
      <c r="H6" s="29" t="inlineStr">
        <is>
          <t>Riyad Bank</t>
        </is>
      </c>
      <c r="I6" s="29" t="inlineStr">
        <is>
          <t>3456789012</t>
        </is>
      </c>
      <c r="J6" s="29" t="inlineStr">
        <is>
          <t>SA3456789012345678901234</t>
        </is>
      </c>
      <c r="K6" s="28" t="inlineStr">
        <is>
          <t>SAR</t>
        </is>
      </c>
      <c r="L6" s="28" t="inlineStr">
        <is>
          <t>Net 30</t>
        </is>
      </c>
      <c r="M6" s="28" t="inlineStr">
        <is>
          <t>Yes</t>
        </is>
      </c>
      <c r="N6" s="28" t="n">
        <v>3</v>
      </c>
    </row>
    <row r="7">
      <c r="A7" s="10" t="inlineStr">
        <is>
          <t>VND-004</t>
        </is>
      </c>
      <c r="B7" s="32" t="inlineStr">
        <is>
          <t>Dell Technologies</t>
        </is>
      </c>
      <c r="C7" s="40" t="inlineStr">
        <is>
          <t>VENDOR</t>
        </is>
      </c>
      <c r="D7" s="10" t="inlineStr">
        <is>
          <t>IT Equipment</t>
        </is>
      </c>
      <c r="E7" s="32" t="inlineStr">
        <is>
          <t>Account Manager</t>
        </is>
      </c>
      <c r="F7" s="32" t="inlineStr">
        <is>
          <t>sales@dell.com</t>
        </is>
      </c>
      <c r="G7" s="32" t="inlineStr">
        <is>
          <t>+971-4-456-7890</t>
        </is>
      </c>
      <c r="H7" s="32" t="inlineStr">
        <is>
          <t>Citibank</t>
        </is>
      </c>
      <c r="I7" s="32" t="inlineStr">
        <is>
          <t>4567890123</t>
        </is>
      </c>
      <c r="J7" s="32" t="inlineStr">
        <is>
          <t>AE4567890123456789012345</t>
        </is>
      </c>
      <c r="K7" s="10" t="inlineStr">
        <is>
          <t>USD</t>
        </is>
      </c>
      <c r="L7" s="10" t="inlineStr">
        <is>
          <t>Net 45</t>
        </is>
      </c>
      <c r="M7" s="10" t="inlineStr">
        <is>
          <t>Yes</t>
        </is>
      </c>
      <c r="N7" s="10" t="n">
        <v>4</v>
      </c>
    </row>
    <row r="8">
      <c r="A8" s="28" t="inlineStr">
        <is>
          <t>VND-005</t>
        </is>
      </c>
      <c r="B8" s="29" t="inlineStr">
        <is>
          <t>Microsoft Corporation</t>
        </is>
      </c>
      <c r="C8" s="40" t="inlineStr">
        <is>
          <t>VENDOR</t>
        </is>
      </c>
      <c r="D8" s="28" t="inlineStr">
        <is>
          <t>Software</t>
        </is>
      </c>
      <c r="E8" s="29" t="inlineStr">
        <is>
          <t>Licensing</t>
        </is>
      </c>
      <c r="F8" s="29" t="inlineStr">
        <is>
          <t>licensing@microsoft.com</t>
        </is>
      </c>
      <c r="G8" s="29" t="inlineStr">
        <is>
          <t>+1-800-642-7676</t>
        </is>
      </c>
      <c r="H8" s="29" t="inlineStr">
        <is>
          <t>JPMorgan Chase</t>
        </is>
      </c>
      <c r="I8" s="29" t="inlineStr">
        <is>
          <t>5678901234</t>
        </is>
      </c>
      <c r="J8" s="29" t="inlineStr">
        <is>
          <t>US56789012345678901234</t>
        </is>
      </c>
      <c r="K8" s="28" t="inlineStr">
        <is>
          <t>USD</t>
        </is>
      </c>
      <c r="L8" s="28" t="inlineStr">
        <is>
          <t>Annual</t>
        </is>
      </c>
      <c r="M8" s="28" t="inlineStr">
        <is>
          <t>Yes</t>
        </is>
      </c>
      <c r="N8" s="28" t="n">
        <v>5</v>
      </c>
    </row>
    <row r="9">
      <c r="A9" s="10" t="inlineStr">
        <is>
          <t>VND-006</t>
        </is>
      </c>
      <c r="B9" s="32" t="inlineStr">
        <is>
          <t>Office Supplies Co</t>
        </is>
      </c>
      <c r="C9" s="40" t="inlineStr">
        <is>
          <t>VENDOR</t>
        </is>
      </c>
      <c r="D9" s="10" t="inlineStr">
        <is>
          <t>Office Supplies</t>
        </is>
      </c>
      <c r="E9" s="32" t="inlineStr">
        <is>
          <t>Sales</t>
        </is>
      </c>
      <c r="F9" s="32" t="inlineStr">
        <is>
          <t>sales@officesupplies.sa</t>
        </is>
      </c>
      <c r="G9" s="32" t="inlineStr">
        <is>
          <t>+966-11-567-8901</t>
        </is>
      </c>
      <c r="H9" s="32" t="inlineStr">
        <is>
          <t>Saudi National Bank</t>
        </is>
      </c>
      <c r="I9" s="32" t="inlineStr">
        <is>
          <t>6789012345</t>
        </is>
      </c>
      <c r="J9" s="32" t="inlineStr">
        <is>
          <t>SA6789012345678901234567</t>
        </is>
      </c>
      <c r="K9" s="10" t="inlineStr">
        <is>
          <t>SAR</t>
        </is>
      </c>
      <c r="L9" s="10" t="inlineStr">
        <is>
          <t>Net 15</t>
        </is>
      </c>
      <c r="M9" s="10" t="inlineStr">
        <is>
          <t>Yes</t>
        </is>
      </c>
      <c r="N9" s="10" t="n">
        <v>6</v>
      </c>
    </row>
    <row r="10">
      <c r="A10" s="28" t="inlineStr">
        <is>
          <t>HR-001</t>
        </is>
      </c>
      <c r="B10" s="29" t="inlineStr">
        <is>
          <t>Monthly Payroll</t>
        </is>
      </c>
      <c r="C10" s="41" t="inlineStr">
        <is>
          <t>HR</t>
        </is>
      </c>
      <c r="D10" s="28" t="inlineStr">
        <is>
          <t>Salaries</t>
        </is>
      </c>
      <c r="E10" s="29" t="inlineStr">
        <is>
          <t>HR Director</t>
        </is>
      </c>
      <c r="F10" s="29" t="inlineStr">
        <is>
          <t>hr@company.com</t>
        </is>
      </c>
      <c r="G10" s="29" t="inlineStr">
        <is>
          <t>+966-11-100-0001</t>
        </is>
      </c>
      <c r="H10" s="29" t="inlineStr">
        <is>
          <t>Internal</t>
        </is>
      </c>
      <c r="I10" s="29" t="inlineStr">
        <is>
          <t>PAYROLL</t>
        </is>
      </c>
      <c r="J10" s="29" t="inlineStr">
        <is>
          <t>N/A</t>
        </is>
      </c>
      <c r="K10" s="28" t="inlineStr">
        <is>
          <t>SAR</t>
        </is>
      </c>
      <c r="L10" s="28" t="inlineStr">
        <is>
          <t>Monthly</t>
        </is>
      </c>
      <c r="M10" s="28" t="inlineStr">
        <is>
          <t>Yes</t>
        </is>
      </c>
      <c r="N10" s="28" t="n">
        <v>10</v>
      </c>
    </row>
    <row r="11">
      <c r="A11" s="10" t="inlineStr">
        <is>
          <t>HR-002</t>
        </is>
      </c>
      <c r="B11" s="32" t="inlineStr">
        <is>
          <t>GOSI (General Organization for Social Insurance)</t>
        </is>
      </c>
      <c r="C11" s="41" t="inlineStr">
        <is>
          <t>HR</t>
        </is>
      </c>
      <c r="D11" s="10" t="inlineStr">
        <is>
          <t>Social Insurance</t>
        </is>
      </c>
      <c r="E11" s="32" t="inlineStr">
        <is>
          <t>GOSI Portal</t>
        </is>
      </c>
      <c r="F11" s="32" t="inlineStr">
        <is>
          <t>employer@gosi.gov.sa</t>
        </is>
      </c>
      <c r="G11" s="32" t="inlineStr">
        <is>
          <t>+966-11-800-1234</t>
        </is>
      </c>
      <c r="H11" s="32" t="inlineStr">
        <is>
          <t>GOSI</t>
        </is>
      </c>
      <c r="I11" s="32" t="inlineStr">
        <is>
          <t>GOSI-EMP</t>
        </is>
      </c>
      <c r="J11" s="32" t="inlineStr">
        <is>
          <t>SA0000000000GOSI</t>
        </is>
      </c>
      <c r="K11" s="10" t="inlineStr">
        <is>
          <t>SAR</t>
        </is>
      </c>
      <c r="L11" s="10" t="inlineStr">
        <is>
          <t>Monthly</t>
        </is>
      </c>
      <c r="M11" s="10" t="inlineStr">
        <is>
          <t>Yes</t>
        </is>
      </c>
      <c r="N11" s="10" t="n">
        <v>11</v>
      </c>
    </row>
    <row r="12">
      <c r="A12" s="28" t="inlineStr">
        <is>
          <t>HR-003</t>
        </is>
      </c>
      <c r="B12" s="29" t="inlineStr">
        <is>
          <t>Medical Insurance Provider</t>
        </is>
      </c>
      <c r="C12" s="41" t="inlineStr">
        <is>
          <t>HR</t>
        </is>
      </c>
      <c r="D12" s="28" t="inlineStr">
        <is>
          <t>Benefits</t>
        </is>
      </c>
      <c r="E12" s="29" t="inlineStr">
        <is>
          <t>Account Manager</t>
        </is>
      </c>
      <c r="F12" s="29" t="inlineStr">
        <is>
          <t>corporate@bupa.com.sa</t>
        </is>
      </c>
      <c r="G12" s="29" t="inlineStr">
        <is>
          <t>+966-11-200-0002</t>
        </is>
      </c>
      <c r="H12" s="29" t="inlineStr">
        <is>
          <t>Al Rajhi Bank</t>
        </is>
      </c>
      <c r="I12" s="29" t="inlineStr">
        <is>
          <t>7890123456</t>
        </is>
      </c>
      <c r="J12" s="29" t="inlineStr">
        <is>
          <t>SA7890123456789012345678</t>
        </is>
      </c>
      <c r="K12" s="28" t="inlineStr">
        <is>
          <t>SAR</t>
        </is>
      </c>
      <c r="L12" s="28" t="inlineStr">
        <is>
          <t>Quarterly</t>
        </is>
      </c>
      <c r="M12" s="28" t="inlineStr">
        <is>
          <t>Yes</t>
        </is>
      </c>
      <c r="N12" s="28" t="n">
        <v>12</v>
      </c>
    </row>
    <row r="13">
      <c r="A13" s="10" t="inlineStr">
        <is>
          <t>HR-004</t>
        </is>
      </c>
      <c r="B13" s="32" t="inlineStr">
        <is>
          <t>End of Service Provisions</t>
        </is>
      </c>
      <c r="C13" s="41" t="inlineStr">
        <is>
          <t>HR</t>
        </is>
      </c>
      <c r="D13" s="10" t="inlineStr">
        <is>
          <t>EOS</t>
        </is>
      </c>
      <c r="E13" s="32" t="inlineStr">
        <is>
          <t>HR Director</t>
        </is>
      </c>
      <c r="F13" s="32" t="inlineStr">
        <is>
          <t>hr@company.com</t>
        </is>
      </c>
      <c r="G13" s="32" t="inlineStr">
        <is>
          <t>+966-11-100-0001</t>
        </is>
      </c>
      <c r="H13" s="32" t="inlineStr">
        <is>
          <t>Internal</t>
        </is>
      </c>
      <c r="I13" s="32" t="inlineStr">
        <is>
          <t>EOS-PROV</t>
        </is>
      </c>
      <c r="J13" s="32" t="inlineStr">
        <is>
          <t>N/A</t>
        </is>
      </c>
      <c r="K13" s="10" t="inlineStr">
        <is>
          <t>SAR</t>
        </is>
      </c>
      <c r="L13" s="10" t="inlineStr">
        <is>
          <t>On Demand</t>
        </is>
      </c>
      <c r="M13" s="10" t="inlineStr">
        <is>
          <t>Yes</t>
        </is>
      </c>
      <c r="N13" s="10" t="n">
        <v>13</v>
      </c>
    </row>
    <row r="14">
      <c r="A14" s="28" t="inlineStr">
        <is>
          <t>HR-005</t>
        </is>
      </c>
      <c r="B14" s="29" t="inlineStr">
        <is>
          <t>Staff Bonuses</t>
        </is>
      </c>
      <c r="C14" s="41" t="inlineStr">
        <is>
          <t>HR</t>
        </is>
      </c>
      <c r="D14" s="28" t="inlineStr">
        <is>
          <t>Bonuses</t>
        </is>
      </c>
      <c r="E14" s="29" t="inlineStr">
        <is>
          <t>HR Director</t>
        </is>
      </c>
      <c r="F14" s="29" t="inlineStr">
        <is>
          <t>hr@company.com</t>
        </is>
      </c>
      <c r="G14" s="29" t="inlineStr">
        <is>
          <t>+966-11-100-0001</t>
        </is>
      </c>
      <c r="H14" s="29" t="inlineStr">
        <is>
          <t>Internal</t>
        </is>
      </c>
      <c r="I14" s="29" t="inlineStr">
        <is>
          <t>BONUS</t>
        </is>
      </c>
      <c r="J14" s="29" t="inlineStr">
        <is>
          <t>N/A</t>
        </is>
      </c>
      <c r="K14" s="28" t="inlineStr">
        <is>
          <t>SAR</t>
        </is>
      </c>
      <c r="L14" s="28" t="inlineStr">
        <is>
          <t>Quarterly</t>
        </is>
      </c>
      <c r="M14" s="28" t="inlineStr">
        <is>
          <t>Yes</t>
        </is>
      </c>
      <c r="N14" s="28" t="n">
        <v>14</v>
      </c>
    </row>
    <row r="15">
      <c r="A15" s="10" t="inlineStr">
        <is>
          <t>HR-006</t>
        </is>
      </c>
      <c r="B15" s="32" t="inlineStr">
        <is>
          <t>Training Provider</t>
        </is>
      </c>
      <c r="C15" s="41" t="inlineStr">
        <is>
          <t>HR</t>
        </is>
      </c>
      <c r="D15" s="10" t="inlineStr">
        <is>
          <t>Training</t>
        </is>
      </c>
      <c r="E15" s="32" t="inlineStr">
        <is>
          <t>Training Coord</t>
        </is>
      </c>
      <c r="F15" s="32" t="inlineStr">
        <is>
          <t>training@provider.com</t>
        </is>
      </c>
      <c r="G15" s="32" t="inlineStr">
        <is>
          <t>+966-11-300-0003</t>
        </is>
      </c>
      <c r="H15" s="32" t="inlineStr">
        <is>
          <t>Saudi National Bank</t>
        </is>
      </c>
      <c r="I15" s="32" t="inlineStr">
        <is>
          <t>8901234567</t>
        </is>
      </c>
      <c r="J15" s="32" t="inlineStr">
        <is>
          <t>SA8901234567890123456789</t>
        </is>
      </c>
      <c r="K15" s="10" t="inlineStr">
        <is>
          <t>SAR</t>
        </is>
      </c>
      <c r="L15" s="10" t="inlineStr">
        <is>
          <t>Per Course</t>
        </is>
      </c>
      <c r="M15" s="10" t="inlineStr">
        <is>
          <t>Yes</t>
        </is>
      </c>
      <c r="N15" s="10" t="n">
        <v>15</v>
      </c>
    </row>
    <row r="16">
      <c r="A16" s="28" t="inlineStr">
        <is>
          <t>GOV-001</t>
        </is>
      </c>
      <c r="B16" s="29" t="inlineStr">
        <is>
          <t>Zakat, Tax and Customs Authority</t>
        </is>
      </c>
      <c r="C16" s="42" t="inlineStr">
        <is>
          <t>GOVT</t>
        </is>
      </c>
      <c r="D16" s="28" t="inlineStr">
        <is>
          <t>Tax</t>
        </is>
      </c>
      <c r="E16" s="29" t="inlineStr">
        <is>
          <t>ZATCA Portal</t>
        </is>
      </c>
      <c r="F16" s="29" t="inlineStr">
        <is>
          <t>support@zatca.gov.sa</t>
        </is>
      </c>
      <c r="G16" s="29" t="inlineStr">
        <is>
          <t>+966-11-400-0004</t>
        </is>
      </c>
      <c r="H16" s="29" t="inlineStr">
        <is>
          <t>SAMA</t>
        </is>
      </c>
      <c r="I16" s="29" t="inlineStr">
        <is>
          <t>ZATCA-TAX</t>
        </is>
      </c>
      <c r="J16" s="29" t="inlineStr">
        <is>
          <t>SA0000000000ZATCA</t>
        </is>
      </c>
      <c r="K16" s="28" t="inlineStr">
        <is>
          <t>SAR</t>
        </is>
      </c>
      <c r="L16" s="28" t="inlineStr">
        <is>
          <t>As Due</t>
        </is>
      </c>
      <c r="M16" s="28" t="inlineStr">
        <is>
          <t>Yes</t>
        </is>
      </c>
      <c r="N16" s="28" t="n">
        <v>20</v>
      </c>
    </row>
    <row r="17">
      <c r="A17" s="10" t="inlineStr">
        <is>
          <t>GOV-002</t>
        </is>
      </c>
      <c r="B17" s="32" t="inlineStr">
        <is>
          <t>Ministry of Labor</t>
        </is>
      </c>
      <c r="C17" s="42" t="inlineStr">
        <is>
          <t>GOVT</t>
        </is>
      </c>
      <c r="D17" s="10" t="inlineStr">
        <is>
          <t>Labor Fees</t>
        </is>
      </c>
      <c r="E17" s="32" t="inlineStr">
        <is>
          <t>MOL Portal</t>
        </is>
      </c>
      <c r="F17" s="32" t="inlineStr">
        <is>
          <t>support@mol.gov.sa</t>
        </is>
      </c>
      <c r="G17" s="32" t="inlineStr">
        <is>
          <t>+966-11-400-0005</t>
        </is>
      </c>
      <c r="H17" s="32" t="inlineStr">
        <is>
          <t>SAMA</t>
        </is>
      </c>
      <c r="I17" s="32" t="inlineStr">
        <is>
          <t>MOL-FEES</t>
        </is>
      </c>
      <c r="J17" s="32" t="inlineStr">
        <is>
          <t>SA0000000000MOL</t>
        </is>
      </c>
      <c r="K17" s="10" t="inlineStr">
        <is>
          <t>SAR</t>
        </is>
      </c>
      <c r="L17" s="10" t="inlineStr">
        <is>
          <t>As Due</t>
        </is>
      </c>
      <c r="M17" s="10" t="inlineStr">
        <is>
          <t>Yes</t>
        </is>
      </c>
      <c r="N17" s="10" t="n">
        <v>21</v>
      </c>
    </row>
    <row r="18">
      <c r="A18" s="28" t="inlineStr">
        <is>
          <t>GOV-003</t>
        </is>
      </c>
      <c r="B18" s="29" t="inlineStr">
        <is>
          <t>Municipality Fees</t>
        </is>
      </c>
      <c r="C18" s="42" t="inlineStr">
        <is>
          <t>GOVT</t>
        </is>
      </c>
      <c r="D18" s="28" t="inlineStr">
        <is>
          <t>Municipal</t>
        </is>
      </c>
      <c r="E18" s="29" t="inlineStr">
        <is>
          <t>Municipality</t>
        </is>
      </c>
      <c r="F18" s="29" t="inlineStr">
        <is>
          <t>fees@riyadh.gov.sa</t>
        </is>
      </c>
      <c r="G18" s="29" t="inlineStr">
        <is>
          <t>+966-11-400-0006</t>
        </is>
      </c>
      <c r="H18" s="29" t="inlineStr">
        <is>
          <t>SAMA</t>
        </is>
      </c>
      <c r="I18" s="29" t="inlineStr">
        <is>
          <t>MUNI-FEES</t>
        </is>
      </c>
      <c r="J18" s="29" t="inlineStr">
        <is>
          <t>SA0000000000MUNI</t>
        </is>
      </c>
      <c r="K18" s="28" t="inlineStr">
        <is>
          <t>SAR</t>
        </is>
      </c>
      <c r="L18" s="28" t="inlineStr">
        <is>
          <t>Annual</t>
        </is>
      </c>
      <c r="M18" s="28" t="inlineStr">
        <is>
          <t>Yes</t>
        </is>
      </c>
      <c r="N18" s="28" t="n">
        <v>22</v>
      </c>
    </row>
    <row r="19">
      <c r="A19" s="10" t="inlineStr">
        <is>
          <t>GOV-004</t>
        </is>
      </c>
      <c r="B19" s="32" t="inlineStr">
        <is>
          <t>Chamber of Commerce</t>
        </is>
      </c>
      <c r="C19" s="42" t="inlineStr">
        <is>
          <t>GOVT</t>
        </is>
      </c>
      <c r="D19" s="10" t="inlineStr">
        <is>
          <t>Registration</t>
        </is>
      </c>
      <c r="E19" s="32" t="inlineStr">
        <is>
          <t>CoC Portal</t>
        </is>
      </c>
      <c r="F19" s="32" t="inlineStr">
        <is>
          <t>membership@coc.org.sa</t>
        </is>
      </c>
      <c r="G19" s="32" t="inlineStr">
        <is>
          <t>+966-11-400-0007</t>
        </is>
      </c>
      <c r="H19" s="32" t="inlineStr">
        <is>
          <t>Saudi National Bank</t>
        </is>
      </c>
      <c r="I19" s="32" t="inlineStr">
        <is>
          <t>9012345678</t>
        </is>
      </c>
      <c r="J19" s="32" t="inlineStr">
        <is>
          <t>SA9012345678901234567890</t>
        </is>
      </c>
      <c r="K19" s="10" t="inlineStr">
        <is>
          <t>SAR</t>
        </is>
      </c>
      <c r="L19" s="10" t="inlineStr">
        <is>
          <t>Annual</t>
        </is>
      </c>
      <c r="M19" s="10" t="inlineStr">
        <is>
          <t>Yes</t>
        </is>
      </c>
      <c r="N19" s="10" t="n">
        <v>23</v>
      </c>
    </row>
    <row r="20">
      <c r="A20" s="28" t="inlineStr">
        <is>
          <t>STR-001</t>
        </is>
      </c>
      <c r="B20" s="29" t="inlineStr">
        <is>
          <t>Strategic Partner Alpha</t>
        </is>
      </c>
      <c r="C20" s="43" t="inlineStr">
        <is>
          <t>STRATEGIC</t>
        </is>
      </c>
      <c r="D20" s="28" t="inlineStr">
        <is>
          <t>Partnership</t>
        </is>
      </c>
      <c r="E20" s="29" t="inlineStr">
        <is>
          <t>CEO Office</t>
        </is>
      </c>
      <c r="F20" s="29" t="inlineStr">
        <is>
          <t>ceo@partneralpha.com</t>
        </is>
      </c>
      <c r="G20" s="29" t="inlineStr">
        <is>
          <t>+971-4-500-0001</t>
        </is>
      </c>
      <c r="H20" s="29" t="inlineStr">
        <is>
          <t>Emirates NBD</t>
        </is>
      </c>
      <c r="I20" s="29" t="inlineStr">
        <is>
          <t>0123456789</t>
        </is>
      </c>
      <c r="J20" s="29" t="inlineStr">
        <is>
          <t>AE0123456789012345678901</t>
        </is>
      </c>
      <c r="K20" s="28" t="inlineStr">
        <is>
          <t>AED</t>
        </is>
      </c>
      <c r="L20" s="28" t="inlineStr">
        <is>
          <t>Milestone</t>
        </is>
      </c>
      <c r="M20" s="28" t="inlineStr">
        <is>
          <t>Yes</t>
        </is>
      </c>
      <c r="N20" s="28" t="n">
        <v>30</v>
      </c>
    </row>
    <row r="21">
      <c r="A21" s="10" t="inlineStr">
        <is>
          <t>STR-002</t>
        </is>
      </c>
      <c r="B21" s="32" t="inlineStr">
        <is>
          <t>Investment Fund Beta</t>
        </is>
      </c>
      <c r="C21" s="43" t="inlineStr">
        <is>
          <t>STRATEGIC</t>
        </is>
      </c>
      <c r="D21" s="10" t="inlineStr">
        <is>
          <t>Investment</t>
        </is>
      </c>
      <c r="E21" s="32" t="inlineStr">
        <is>
          <t>Fund Manager</t>
        </is>
      </c>
      <c r="F21" s="32" t="inlineStr">
        <is>
          <t>invest@fundbeta.com</t>
        </is>
      </c>
      <c r="G21" s="32" t="inlineStr">
        <is>
          <t>+44-20-600-0002</t>
        </is>
      </c>
      <c r="H21" s="32" t="inlineStr">
        <is>
          <t>Barclays</t>
        </is>
      </c>
      <c r="I21" s="32" t="inlineStr">
        <is>
          <t>1234567890AB</t>
        </is>
      </c>
      <c r="J21" s="32" t="inlineStr">
        <is>
          <t>GB1234567890123456789012</t>
        </is>
      </c>
      <c r="K21" s="10" t="inlineStr">
        <is>
          <t>GBP</t>
        </is>
      </c>
      <c r="L21" s="10" t="inlineStr">
        <is>
          <t>Quarterly</t>
        </is>
      </c>
      <c r="M21" s="10" t="inlineStr">
        <is>
          <t>Yes</t>
        </is>
      </c>
      <c r="N21" s="10" t="n">
        <v>31</v>
      </c>
    </row>
    <row r="22">
      <c r="A22" s="28" t="inlineStr">
        <is>
          <t>STR-003</t>
        </is>
      </c>
      <c r="B22" s="29" t="inlineStr">
        <is>
          <t>JV Company Gamma</t>
        </is>
      </c>
      <c r="C22" s="43" t="inlineStr">
        <is>
          <t>STRATEGIC</t>
        </is>
      </c>
      <c r="D22" s="28" t="inlineStr">
        <is>
          <t>Joint Venture</t>
        </is>
      </c>
      <c r="E22" s="29" t="inlineStr">
        <is>
          <t>JV Director</t>
        </is>
      </c>
      <c r="F22" s="29" t="inlineStr">
        <is>
          <t>jv@gamma.com</t>
        </is>
      </c>
      <c r="G22" s="29" t="inlineStr">
        <is>
          <t>+65-700-0003</t>
        </is>
      </c>
      <c r="H22" s="29" t="inlineStr">
        <is>
          <t>DBS Bank</t>
        </is>
      </c>
      <c r="I22" s="29" t="inlineStr">
        <is>
          <t>2345678901CD</t>
        </is>
      </c>
      <c r="J22" s="29" t="inlineStr">
        <is>
          <t>SG2345678901234567890123</t>
        </is>
      </c>
      <c r="K22" s="28" t="inlineStr">
        <is>
          <t>SGD</t>
        </is>
      </c>
      <c r="L22" s="28" t="inlineStr">
        <is>
          <t>Monthly</t>
        </is>
      </c>
      <c r="M22" s="28" t="inlineStr">
        <is>
          <t>Yes</t>
        </is>
      </c>
      <c r="N22" s="28" t="n">
        <v>32</v>
      </c>
    </row>
    <row r="23">
      <c r="A23" s="10" t="inlineStr">
        <is>
          <t>STR-004</t>
        </is>
      </c>
      <c r="B23" s="32" t="inlineStr">
        <is>
          <t>Acquisition Target Delta</t>
        </is>
      </c>
      <c r="C23" s="43" t="inlineStr">
        <is>
          <t>STRATEGIC</t>
        </is>
      </c>
      <c r="D23" s="10" t="inlineStr">
        <is>
          <t>M&amp;A</t>
        </is>
      </c>
      <c r="E23" s="32" t="inlineStr">
        <is>
          <t>M&amp;A Advisor</t>
        </is>
      </c>
      <c r="F23" s="32" t="inlineStr">
        <is>
          <t>ma@delta.com</t>
        </is>
      </c>
      <c r="G23" s="32" t="inlineStr">
        <is>
          <t>+49-800-0004</t>
        </is>
      </c>
      <c r="H23" s="32" t="inlineStr">
        <is>
          <t>Deutsche Bank</t>
        </is>
      </c>
      <c r="I23" s="32" t="inlineStr">
        <is>
          <t>3456789012EF</t>
        </is>
      </c>
      <c r="J23" s="32" t="inlineStr">
        <is>
          <t>DE3456789012345678901234</t>
        </is>
      </c>
      <c r="K23" s="10" t="inlineStr">
        <is>
          <t>EUR</t>
        </is>
      </c>
      <c r="L23" s="10" t="inlineStr">
        <is>
          <t>Milestone</t>
        </is>
      </c>
      <c r="M23" s="10" t="inlineStr">
        <is>
          <t>Yes</t>
        </is>
      </c>
      <c r="N23" s="10" t="n">
        <v>33</v>
      </c>
    </row>
    <row r="24">
      <c r="A24" s="28" t="inlineStr">
        <is>
          <t>LOAN-001</t>
        </is>
      </c>
      <c r="B24" s="29" t="inlineStr">
        <is>
          <t>Saudi National Bank</t>
        </is>
      </c>
      <c r="C24" s="44" t="inlineStr">
        <is>
          <t>LOAN</t>
        </is>
      </c>
      <c r="D24" s="28" t="inlineStr">
        <is>
          <t>Term Loan</t>
        </is>
      </c>
      <c r="E24" s="29" t="inlineStr">
        <is>
          <t>Relationship Mgr</t>
        </is>
      </c>
      <c r="F24" s="29" t="inlineStr">
        <is>
          <t>corporate@snb.com.sa</t>
        </is>
      </c>
      <c r="G24" s="29" t="inlineStr">
        <is>
          <t>+966-11-600-0001</t>
        </is>
      </c>
      <c r="H24" s="29" t="inlineStr">
        <is>
          <t>Saudi National Bank</t>
        </is>
      </c>
      <c r="I24" s="29" t="inlineStr">
        <is>
          <t>LOAN-SNB-001</t>
        </is>
      </c>
      <c r="J24" s="29" t="inlineStr">
        <is>
          <t>SA0000000000SNB001</t>
        </is>
      </c>
      <c r="K24" s="28" t="inlineStr">
        <is>
          <t>SAR</t>
        </is>
      </c>
      <c r="L24" s="28" t="inlineStr">
        <is>
          <t>Monthly</t>
        </is>
      </c>
      <c r="M24" s="28" t="inlineStr">
        <is>
          <t>Yes</t>
        </is>
      </c>
      <c r="N24" s="28" t="n">
        <v>40</v>
      </c>
    </row>
    <row r="25">
      <c r="A25" s="10" t="inlineStr">
        <is>
          <t>LOAN-002</t>
        </is>
      </c>
      <c r="B25" s="32" t="inlineStr">
        <is>
          <t>Al Rajhi Bank</t>
        </is>
      </c>
      <c r="C25" s="44" t="inlineStr">
        <is>
          <t>LOAN</t>
        </is>
      </c>
      <c r="D25" s="10" t="inlineStr">
        <is>
          <t>Islamic Finance</t>
        </is>
      </c>
      <c r="E25" s="32" t="inlineStr">
        <is>
          <t>Relationship Mgr</t>
        </is>
      </c>
      <c r="F25" s="32" t="inlineStr">
        <is>
          <t>corporate@alrajhi.com.sa</t>
        </is>
      </c>
      <c r="G25" s="32" t="inlineStr">
        <is>
          <t>+966-11-600-0002</t>
        </is>
      </c>
      <c r="H25" s="32" t="inlineStr">
        <is>
          <t>Al Rajhi Bank</t>
        </is>
      </c>
      <c r="I25" s="32" t="inlineStr">
        <is>
          <t>LOAN-ARB-001</t>
        </is>
      </c>
      <c r="J25" s="32" t="inlineStr">
        <is>
          <t>SA0000000000ARB001</t>
        </is>
      </c>
      <c r="K25" s="10" t="inlineStr">
        <is>
          <t>SAR</t>
        </is>
      </c>
      <c r="L25" s="10" t="inlineStr">
        <is>
          <t>Monthly</t>
        </is>
      </c>
      <c r="M25" s="10" t="inlineStr">
        <is>
          <t>Yes</t>
        </is>
      </c>
      <c r="N25" s="10" t="n">
        <v>41</v>
      </c>
    </row>
    <row r="26">
      <c r="A26" s="28" t="inlineStr">
        <is>
          <t>LOAN-003</t>
        </is>
      </c>
      <c r="B26" s="29" t="inlineStr">
        <is>
          <t>HSBC Saudi Arabia</t>
        </is>
      </c>
      <c r="C26" s="44" t="inlineStr">
        <is>
          <t>LOAN</t>
        </is>
      </c>
      <c r="D26" s="28" t="inlineStr">
        <is>
          <t>Revolving Credit</t>
        </is>
      </c>
      <c r="E26" s="29" t="inlineStr">
        <is>
          <t>Relationship Mgr</t>
        </is>
      </c>
      <c r="F26" s="29" t="inlineStr">
        <is>
          <t>corporate@hsbc.com.sa</t>
        </is>
      </c>
      <c r="G26" s="29" t="inlineStr">
        <is>
          <t>+966-11-600-0003</t>
        </is>
      </c>
      <c r="H26" s="29" t="inlineStr">
        <is>
          <t>HSBC</t>
        </is>
      </c>
      <c r="I26" s="29" t="inlineStr">
        <is>
          <t>LOAN-HSBC-001</t>
        </is>
      </c>
      <c r="J26" s="29" t="inlineStr">
        <is>
          <t>SA0000000000HSBC01</t>
        </is>
      </c>
      <c r="K26" s="28" t="inlineStr">
        <is>
          <t>USD</t>
        </is>
      </c>
      <c r="L26" s="28" t="inlineStr">
        <is>
          <t>Monthly</t>
        </is>
      </c>
      <c r="M26" s="28" t="inlineStr">
        <is>
          <t>Yes</t>
        </is>
      </c>
      <c r="N26" s="28" t="n">
        <v>42</v>
      </c>
    </row>
    <row r="27">
      <c r="A27" s="10" t="inlineStr">
        <is>
          <t>LOAN-004</t>
        </is>
      </c>
      <c r="B27" s="32" t="inlineStr">
        <is>
          <t>Riyad Bank</t>
        </is>
      </c>
      <c r="C27" s="44" t="inlineStr">
        <is>
          <t>LOAN</t>
        </is>
      </c>
      <c r="D27" s="10" t="inlineStr">
        <is>
          <t>Equipment Finance</t>
        </is>
      </c>
      <c r="E27" s="32" t="inlineStr">
        <is>
          <t>Relationship Mgr</t>
        </is>
      </c>
      <c r="F27" s="32" t="inlineStr">
        <is>
          <t>corporate@riyadbank.com</t>
        </is>
      </c>
      <c r="G27" s="32" t="inlineStr">
        <is>
          <t>+966-11-600-0004</t>
        </is>
      </c>
      <c r="H27" s="32" t="inlineStr">
        <is>
          <t>Riyad Bank</t>
        </is>
      </c>
      <c r="I27" s="32" t="inlineStr">
        <is>
          <t>LOAN-RYD-001</t>
        </is>
      </c>
      <c r="J27" s="32" t="inlineStr">
        <is>
          <t>SA0000000000RYD001</t>
        </is>
      </c>
      <c r="K27" s="10" t="inlineStr">
        <is>
          <t>SAR</t>
        </is>
      </c>
      <c r="L27" s="10" t="inlineStr">
        <is>
          <t>Monthly</t>
        </is>
      </c>
      <c r="M27" s="10" t="inlineStr">
        <is>
          <t>Yes</t>
        </is>
      </c>
      <c r="N27" s="10" t="n">
        <v>43</v>
      </c>
    </row>
    <row r="28">
      <c r="A28" s="28" t="inlineStr">
        <is>
          <t>LOAN-005</t>
        </is>
      </c>
      <c r="B28" s="29" t="inlineStr">
        <is>
          <t>Emirates NBD</t>
        </is>
      </c>
      <c r="C28" s="44" t="inlineStr">
        <is>
          <t>LOAN</t>
        </is>
      </c>
      <c r="D28" s="28" t="inlineStr">
        <is>
          <t>Trade Finance</t>
        </is>
      </c>
      <c r="E28" s="29" t="inlineStr">
        <is>
          <t>Trade Finance</t>
        </is>
      </c>
      <c r="F28" s="29" t="inlineStr">
        <is>
          <t>trade@emiratesnbd.com</t>
        </is>
      </c>
      <c r="G28" s="29" t="inlineStr">
        <is>
          <t>+971-4-600-0005</t>
        </is>
      </c>
      <c r="H28" s="29" t="inlineStr">
        <is>
          <t>Emirates NBD</t>
        </is>
      </c>
      <c r="I28" s="29" t="inlineStr">
        <is>
          <t>LOAN-ENBD-001</t>
        </is>
      </c>
      <c r="J28" s="29" t="inlineStr">
        <is>
          <t>AE0000000000ENBD01</t>
        </is>
      </c>
      <c r="K28" s="28" t="inlineStr">
        <is>
          <t>AED</t>
        </is>
      </c>
      <c r="L28" s="28" t="inlineStr">
        <is>
          <t>As Due</t>
        </is>
      </c>
      <c r="M28" s="28" t="inlineStr">
        <is>
          <t>Yes</t>
        </is>
      </c>
      <c r="N28" s="28" t="n">
        <v>44</v>
      </c>
    </row>
    <row r="29">
      <c r="A29" s="10" t="inlineStr">
        <is>
          <t>OPS-001</t>
        </is>
      </c>
      <c r="B29" s="32" t="inlineStr">
        <is>
          <t>Property Management Co</t>
        </is>
      </c>
      <c r="C29" s="45" t="inlineStr">
        <is>
          <t>OPEX</t>
        </is>
      </c>
      <c r="D29" s="10" t="inlineStr">
        <is>
          <t>Rent</t>
        </is>
      </c>
      <c r="E29" s="32" t="inlineStr">
        <is>
          <t>Property Mgr</t>
        </is>
      </c>
      <c r="F29" s="32" t="inlineStr">
        <is>
          <t>rent@property.sa</t>
        </is>
      </c>
      <c r="G29" s="32" t="inlineStr">
        <is>
          <t>+966-11-700-0001</t>
        </is>
      </c>
      <c r="H29" s="32" t="inlineStr">
        <is>
          <t>Saudi National Bank</t>
        </is>
      </c>
      <c r="I29" s="32" t="inlineStr">
        <is>
          <t>4567890123GH</t>
        </is>
      </c>
      <c r="J29" s="32" t="inlineStr">
        <is>
          <t>SA4567890123456789012345</t>
        </is>
      </c>
      <c r="K29" s="10" t="inlineStr">
        <is>
          <t>SAR</t>
        </is>
      </c>
      <c r="L29" s="10" t="inlineStr">
        <is>
          <t>Monthly</t>
        </is>
      </c>
      <c r="M29" s="10" t="inlineStr">
        <is>
          <t>Yes</t>
        </is>
      </c>
      <c r="N29" s="10" t="n">
        <v>50</v>
      </c>
    </row>
    <row r="30">
      <c r="A30" s="28" t="inlineStr">
        <is>
          <t>OPS-002</t>
        </is>
      </c>
      <c r="B30" s="29" t="inlineStr">
        <is>
          <t>Security Services Co</t>
        </is>
      </c>
      <c r="C30" s="45" t="inlineStr">
        <is>
          <t>OPEX</t>
        </is>
      </c>
      <c r="D30" s="28" t="inlineStr">
        <is>
          <t>Security</t>
        </is>
      </c>
      <c r="E30" s="29" t="inlineStr">
        <is>
          <t>Operations</t>
        </is>
      </c>
      <c r="F30" s="29" t="inlineStr">
        <is>
          <t>ops@security.sa</t>
        </is>
      </c>
      <c r="G30" s="29" t="inlineStr">
        <is>
          <t>+966-11-700-0002</t>
        </is>
      </c>
      <c r="H30" s="29" t="inlineStr">
        <is>
          <t>Riyad Bank</t>
        </is>
      </c>
      <c r="I30" s="29" t="inlineStr">
        <is>
          <t>5678901234IJ</t>
        </is>
      </c>
      <c r="J30" s="29" t="inlineStr">
        <is>
          <t>SA5678901234567890123456</t>
        </is>
      </c>
      <c r="K30" s="28" t="inlineStr">
        <is>
          <t>SAR</t>
        </is>
      </c>
      <c r="L30" s="28" t="inlineStr">
        <is>
          <t>Monthly</t>
        </is>
      </c>
      <c r="M30" s="28" t="inlineStr">
        <is>
          <t>Yes</t>
        </is>
      </c>
      <c r="N30" s="28" t="n">
        <v>51</v>
      </c>
    </row>
    <row r="31">
      <c r="A31" s="10" t="inlineStr">
        <is>
          <t>OPS-003</t>
        </is>
      </c>
      <c r="B31" s="32" t="inlineStr">
        <is>
          <t>Cleaning Services Co</t>
        </is>
      </c>
      <c r="C31" s="45" t="inlineStr">
        <is>
          <t>OPEX</t>
        </is>
      </c>
      <c r="D31" s="10" t="inlineStr">
        <is>
          <t>Facility</t>
        </is>
      </c>
      <c r="E31" s="32" t="inlineStr">
        <is>
          <t>Operations</t>
        </is>
      </c>
      <c r="F31" s="32" t="inlineStr">
        <is>
          <t>ops@cleaning.sa</t>
        </is>
      </c>
      <c r="G31" s="32" t="inlineStr">
        <is>
          <t>+966-11-700-0003</t>
        </is>
      </c>
      <c r="H31" s="32" t="inlineStr">
        <is>
          <t>Al Rajhi Bank</t>
        </is>
      </c>
      <c r="I31" s="32" t="inlineStr">
        <is>
          <t>6789012345KL</t>
        </is>
      </c>
      <c r="J31" s="32" t="inlineStr">
        <is>
          <t>SA6789012345678901234567</t>
        </is>
      </c>
      <c r="K31" s="10" t="inlineStr">
        <is>
          <t>SAR</t>
        </is>
      </c>
      <c r="L31" s="10" t="inlineStr">
        <is>
          <t>Monthly</t>
        </is>
      </c>
      <c r="M31" s="10" t="inlineStr">
        <is>
          <t>Yes</t>
        </is>
      </c>
      <c r="N31" s="10" t="n">
        <v>52</v>
      </c>
    </row>
    <row r="32">
      <c r="A32" s="28" t="inlineStr">
        <is>
          <t>OPS-004</t>
        </is>
      </c>
      <c r="B32" s="29" t="inlineStr">
        <is>
          <t>Insurance Corporation</t>
        </is>
      </c>
      <c r="C32" s="45" t="inlineStr">
        <is>
          <t>OPEX</t>
        </is>
      </c>
      <c r="D32" s="28" t="inlineStr">
        <is>
          <t>Insurance</t>
        </is>
      </c>
      <c r="E32" s="29" t="inlineStr">
        <is>
          <t>Account Mgr</t>
        </is>
      </c>
      <c r="F32" s="29" t="inlineStr">
        <is>
          <t>corporate@insurance.sa</t>
        </is>
      </c>
      <c r="G32" s="29" t="inlineStr">
        <is>
          <t>+966-11-700-0004</t>
        </is>
      </c>
      <c r="H32" s="29" t="inlineStr">
        <is>
          <t>Saudi National Bank</t>
        </is>
      </c>
      <c r="I32" s="29" t="inlineStr">
        <is>
          <t>7890123456MN</t>
        </is>
      </c>
      <c r="J32" s="29" t="inlineStr">
        <is>
          <t>SA7890123456789012345678</t>
        </is>
      </c>
      <c r="K32" s="28" t="inlineStr">
        <is>
          <t>SAR</t>
        </is>
      </c>
      <c r="L32" s="28" t="inlineStr">
        <is>
          <t>Quarterly</t>
        </is>
      </c>
      <c r="M32" s="28" t="inlineStr">
        <is>
          <t>Yes</t>
        </is>
      </c>
      <c r="N32" s="28" t="n">
        <v>53</v>
      </c>
    </row>
    <row r="33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</row>
    <row r="34">
      <c r="A34" s="35" t="n"/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</row>
    <row r="35">
      <c r="A35" s="35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</row>
    <row r="36">
      <c r="A36" s="35" t="n"/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</row>
    <row r="37">
      <c r="A37" s="35" t="n"/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</row>
    <row r="38">
      <c r="A38" s="35" t="n"/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</row>
    <row r="39">
      <c r="A39" s="35" t="n"/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</row>
    <row r="40">
      <c r="A40" s="35" t="n"/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</row>
    <row r="4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</row>
    <row r="42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</row>
    <row r="43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</row>
    <row r="44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</row>
    <row r="45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</row>
    <row r="46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</row>
    <row r="47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</row>
    <row r="48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</row>
    <row r="49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</row>
    <row r="50">
      <c r="A50" s="35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</row>
    <row r="51">
      <c r="A51" s="35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</row>
    <row r="52">
      <c r="A52" s="35" t="n"/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5" customWidth="1" min="5" max="5"/>
    <col width="35" customWidth="1" min="6" max="6"/>
    <col width="10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8" customWidth="1" min="15" max="15"/>
    <col width="30" customWidth="1" min="16" max="16"/>
  </cols>
  <sheetData>
    <row r="1" ht="35" customHeight="1">
      <c r="A1" s="1" t="inlineStr">
        <is>
          <t>PAYMENT DATA - SINGLE SOURCE OF TRUTH</t>
        </is>
      </c>
    </row>
    <row r="3">
      <c r="A3" s="46" t="inlineStr">
        <is>
          <t>⚠ THIS IS THE MASTER PAYMENT DATA SOURCE - All calendars reference this sheet</t>
        </is>
      </c>
    </row>
    <row r="5">
      <c r="A5" s="6" t="inlineStr">
        <is>
          <t>Payment ID</t>
        </is>
      </c>
      <c r="B5" s="6" t="inlineStr">
        <is>
          <t>Vendor ID</t>
        </is>
      </c>
      <c r="C5" s="6" t="inlineStr">
        <is>
          <t>Vendor Name</t>
        </is>
      </c>
      <c r="D5" s="6" t="inlineStr">
        <is>
          <t>Category</t>
        </is>
      </c>
      <c r="E5" s="6" t="inlineStr">
        <is>
          <t>Sub-Category</t>
        </is>
      </c>
      <c r="F5" s="6" t="inlineStr">
        <is>
          <t>Description</t>
        </is>
      </c>
      <c r="G5" s="6" t="inlineStr">
        <is>
          <t>Original CCY</t>
        </is>
      </c>
      <c r="H5" s="6" t="inlineStr">
        <is>
          <t>Amount (CCY)</t>
        </is>
      </c>
      <c r="I5" s="6" t="inlineStr">
        <is>
          <t>Amount (SAR)</t>
        </is>
      </c>
      <c r="J5" s="6" t="inlineStr">
        <is>
          <t>Due Date</t>
        </is>
      </c>
      <c r="K5" s="6" t="inlineStr">
        <is>
          <t>Maturity Date</t>
        </is>
      </c>
      <c r="L5" s="6" t="inlineStr">
        <is>
          <t>Status</t>
        </is>
      </c>
      <c r="M5" s="6" t="inlineStr">
        <is>
          <t>Payment Date</t>
        </is>
      </c>
      <c r="N5" s="6" t="inlineStr">
        <is>
          <t>Reference</t>
        </is>
      </c>
      <c r="O5" s="6" t="inlineStr">
        <is>
          <t>Priority</t>
        </is>
      </c>
      <c r="P5" s="6" t="inlineStr">
        <is>
          <t>Notes</t>
        </is>
      </c>
    </row>
    <row r="6">
      <c r="A6" s="28" t="inlineStr">
        <is>
          <t>PAY-001</t>
        </is>
      </c>
      <c r="B6" s="28" t="inlineStr">
        <is>
          <t>VND-001</t>
        </is>
      </c>
      <c r="C6" s="29" t="inlineStr">
        <is>
          <t>Saudi Electricity Company</t>
        </is>
      </c>
      <c r="D6" s="28" t="inlineStr">
        <is>
          <t>VENDOR</t>
        </is>
      </c>
      <c r="E6" s="28" t="inlineStr">
        <is>
          <t>Utilities</t>
        </is>
      </c>
      <c r="F6" s="29" t="inlineStr">
        <is>
          <t>Monthly Electricity - Dec 2024</t>
        </is>
      </c>
      <c r="G6" s="28" t="inlineStr">
        <is>
          <t>SAR</t>
        </is>
      </c>
      <c r="H6" s="30" t="n">
        <v>45000</v>
      </c>
      <c r="I6" s="30">
        <f>IFERROR(H6*VLOOKUP(G6,FX_Rates.$A$6:$B$11,2,0),H6)</f>
        <v/>
      </c>
      <c r="J6" s="31" t="n">
        <v>45641</v>
      </c>
      <c r="K6" s="31" t="n">
        <v>45641</v>
      </c>
      <c r="L6" s="47" t="inlineStr">
        <is>
          <t>PENDING</t>
        </is>
      </c>
      <c r="M6" s="29" t="inlineStr"/>
      <c r="N6" s="29" t="inlineStr">
        <is>
          <t>ELEC-DEC-2024</t>
        </is>
      </c>
      <c r="O6" s="28" t="n">
        <v>2</v>
      </c>
      <c r="P6" s="29" t="inlineStr">
        <is>
          <t>HQ Building</t>
        </is>
      </c>
    </row>
    <row r="7">
      <c r="A7" s="10" t="inlineStr">
        <is>
          <t>PAY-002</t>
        </is>
      </c>
      <c r="B7" s="10" t="inlineStr">
        <is>
          <t>VND-002</t>
        </is>
      </c>
      <c r="C7" s="32" t="inlineStr">
        <is>
          <t>Saudi Telecom (STC)</t>
        </is>
      </c>
      <c r="D7" s="10" t="inlineStr">
        <is>
          <t>VENDOR</t>
        </is>
      </c>
      <c r="E7" s="10" t="inlineStr">
        <is>
          <t>Telecom</t>
        </is>
      </c>
      <c r="F7" s="32" t="inlineStr">
        <is>
          <t>Internet Services - Dec 2024</t>
        </is>
      </c>
      <c r="G7" s="10" t="inlineStr">
        <is>
          <t>SAR</t>
        </is>
      </c>
      <c r="H7" s="33" t="n">
        <v>15000</v>
      </c>
      <c r="I7" s="33">
        <f>IFERROR(H7*VLOOKUP(G7,FX_Rates.$A$6:$B$11,2,0),H7)</f>
        <v/>
      </c>
      <c r="J7" s="34" t="n">
        <v>45646</v>
      </c>
      <c r="K7" s="34" t="n">
        <v>45646</v>
      </c>
      <c r="L7" s="48" t="inlineStr">
        <is>
          <t>SCHEDULED</t>
        </is>
      </c>
      <c r="M7" s="32" t="inlineStr"/>
      <c r="N7" s="32" t="inlineStr">
        <is>
          <t>STC-DEC-2024</t>
        </is>
      </c>
      <c r="O7" s="10" t="n">
        <v>3</v>
      </c>
      <c r="P7" s="32" t="inlineStr"/>
    </row>
    <row r="8">
      <c r="A8" s="28" t="inlineStr">
        <is>
          <t>PAY-003</t>
        </is>
      </c>
      <c r="B8" s="28" t="inlineStr">
        <is>
          <t>VND-004</t>
        </is>
      </c>
      <c r="C8" s="29" t="inlineStr">
        <is>
          <t>Dell Technologies</t>
        </is>
      </c>
      <c r="D8" s="28" t="inlineStr">
        <is>
          <t>VENDOR</t>
        </is>
      </c>
      <c r="E8" s="28" t="inlineStr">
        <is>
          <t>IT Equipment</t>
        </is>
      </c>
      <c r="F8" s="29" t="inlineStr">
        <is>
          <t>Server Equipment Purchase</t>
        </is>
      </c>
      <c r="G8" s="28" t="inlineStr">
        <is>
          <t>USD</t>
        </is>
      </c>
      <c r="H8" s="30" t="n">
        <v>250000</v>
      </c>
      <c r="I8" s="30">
        <f>IFERROR(H8*VLOOKUP(G8,FX_Rates.$A$6:$B$11,2,0),H8)</f>
        <v/>
      </c>
      <c r="J8" s="31" t="n">
        <v>45644</v>
      </c>
      <c r="K8" s="31" t="n">
        <v>45644</v>
      </c>
      <c r="L8" s="47" t="inlineStr">
        <is>
          <t>PENDING</t>
        </is>
      </c>
      <c r="M8" s="29" t="inlineStr"/>
      <c r="N8" s="29" t="inlineStr">
        <is>
          <t>DELL-PO-2024-156</t>
        </is>
      </c>
      <c r="O8" s="28" t="n">
        <v>1</v>
      </c>
      <c r="P8" s="29" t="inlineStr">
        <is>
          <t>CAPEX - IT Infrastructure</t>
        </is>
      </c>
    </row>
    <row r="9">
      <c r="A9" s="10" t="inlineStr">
        <is>
          <t>PAY-004</t>
        </is>
      </c>
      <c r="B9" s="10" t="inlineStr">
        <is>
          <t>VND-006</t>
        </is>
      </c>
      <c r="C9" s="32" t="inlineStr">
        <is>
          <t>Office Supplies Co</t>
        </is>
      </c>
      <c r="D9" s="10" t="inlineStr">
        <is>
          <t>VENDOR</t>
        </is>
      </c>
      <c r="E9" s="10" t="inlineStr">
        <is>
          <t>Office Supplies</t>
        </is>
      </c>
      <c r="F9" s="32" t="inlineStr">
        <is>
          <t>Q4 Office Supplies</t>
        </is>
      </c>
      <c r="G9" s="10" t="inlineStr">
        <is>
          <t>SAR</t>
        </is>
      </c>
      <c r="H9" s="33" t="n">
        <v>8500</v>
      </c>
      <c r="I9" s="33">
        <f>IFERROR(H9*VLOOKUP(G9,FX_Rates.$A$6:$B$11,2,0),H9)</f>
        <v/>
      </c>
      <c r="J9" s="34" t="n">
        <v>45648</v>
      </c>
      <c r="K9" s="34" t="n">
        <v>45648</v>
      </c>
      <c r="L9" s="49" t="inlineStr">
        <is>
          <t>PAID</t>
        </is>
      </c>
      <c r="M9" s="34" t="n">
        <v>45636</v>
      </c>
      <c r="N9" s="32" t="inlineStr">
        <is>
          <t>OFF-Q4-2024</t>
        </is>
      </c>
      <c r="O9" s="10" t="n">
        <v>4</v>
      </c>
      <c r="P9" s="32" t="inlineStr"/>
    </row>
    <row r="10">
      <c r="A10" s="28" t="inlineStr">
        <is>
          <t>PAY-005</t>
        </is>
      </c>
      <c r="B10" s="28" t="inlineStr">
        <is>
          <t>HR-001</t>
        </is>
      </c>
      <c r="C10" s="29" t="inlineStr">
        <is>
          <t>Monthly Payroll</t>
        </is>
      </c>
      <c r="D10" s="28" t="inlineStr">
        <is>
          <t>HR</t>
        </is>
      </c>
      <c r="E10" s="28" t="inlineStr">
        <is>
          <t>Salaries</t>
        </is>
      </c>
      <c r="F10" s="29" t="inlineStr">
        <is>
          <t>December 2024 Salaries</t>
        </is>
      </c>
      <c r="G10" s="28" t="inlineStr">
        <is>
          <t>SAR</t>
        </is>
      </c>
      <c r="H10" s="30" t="n">
        <v>2500000</v>
      </c>
      <c r="I10" s="30">
        <f>IFERROR(H10*VLOOKUP(G10,FX_Rates.$A$6:$B$11,2,0),H10)</f>
        <v/>
      </c>
      <c r="J10" s="31" t="n">
        <v>45651</v>
      </c>
      <c r="K10" s="31" t="n">
        <v>45651</v>
      </c>
      <c r="L10" s="48" t="inlineStr">
        <is>
          <t>SCHEDULED</t>
        </is>
      </c>
      <c r="M10" s="29" t="inlineStr"/>
      <c r="N10" s="29" t="inlineStr">
        <is>
          <t>PAY-DEC-2024</t>
        </is>
      </c>
      <c r="O10" s="28" t="n">
        <v>1</v>
      </c>
      <c r="P10" s="29" t="inlineStr">
        <is>
          <t>150 Employees</t>
        </is>
      </c>
    </row>
    <row r="11">
      <c r="A11" s="10" t="inlineStr">
        <is>
          <t>PAY-006</t>
        </is>
      </c>
      <c r="B11" s="10" t="inlineStr">
        <is>
          <t>HR-002</t>
        </is>
      </c>
      <c r="C11" s="32" t="inlineStr">
        <is>
          <t>GOSI (General Organization for Social Insurance)</t>
        </is>
      </c>
      <c r="D11" s="10" t="inlineStr">
        <is>
          <t>HR</t>
        </is>
      </c>
      <c r="E11" s="10" t="inlineStr">
        <is>
          <t>Social Insurance</t>
        </is>
      </c>
      <c r="F11" s="32" t="inlineStr">
        <is>
          <t>GOSI Contributions - Dec 2024</t>
        </is>
      </c>
      <c r="G11" s="10" t="inlineStr">
        <is>
          <t>SAR</t>
        </is>
      </c>
      <c r="H11" s="33" t="n">
        <v>375000</v>
      </c>
      <c r="I11" s="33">
        <f>IFERROR(H11*VLOOKUP(G11,FX_Rates.$A$6:$B$11,2,0),H11)</f>
        <v/>
      </c>
      <c r="J11" s="34" t="n">
        <v>45641</v>
      </c>
      <c r="K11" s="34" t="n">
        <v>45641</v>
      </c>
      <c r="L11" s="47" t="inlineStr">
        <is>
          <t>PENDING</t>
        </is>
      </c>
      <c r="M11" s="32" t="inlineStr"/>
      <c r="N11" s="32" t="inlineStr">
        <is>
          <t>GOSI-DEC-2024</t>
        </is>
      </c>
      <c r="O11" s="10" t="n">
        <v>1</v>
      </c>
      <c r="P11" s="32" t="inlineStr">
        <is>
          <t>Government mandatory</t>
        </is>
      </c>
    </row>
    <row r="12">
      <c r="A12" s="28" t="inlineStr">
        <is>
          <t>PAY-007</t>
        </is>
      </c>
      <c r="B12" s="28" t="inlineStr">
        <is>
          <t>HR-003</t>
        </is>
      </c>
      <c r="C12" s="29" t="inlineStr">
        <is>
          <t>Medical Insurance Provider</t>
        </is>
      </c>
      <c r="D12" s="28" t="inlineStr">
        <is>
          <t>HR</t>
        </is>
      </c>
      <c r="E12" s="28" t="inlineStr">
        <is>
          <t>Benefits</t>
        </is>
      </c>
      <c r="F12" s="29" t="inlineStr">
        <is>
          <t>Q1 2025 Medical Insurance</t>
        </is>
      </c>
      <c r="G12" s="28" t="inlineStr">
        <is>
          <t>SAR</t>
        </is>
      </c>
      <c r="H12" s="30" t="n">
        <v>180000</v>
      </c>
      <c r="I12" s="30">
        <f>IFERROR(H12*VLOOKUP(G12,FX_Rates.$A$6:$B$11,2,0),H12)</f>
        <v/>
      </c>
      <c r="J12" s="31" t="n">
        <v>45646</v>
      </c>
      <c r="K12" s="31" t="n">
        <v>45646</v>
      </c>
      <c r="L12" s="48" t="inlineStr">
        <is>
          <t>SCHEDULED</t>
        </is>
      </c>
      <c r="M12" s="29" t="inlineStr"/>
      <c r="N12" s="29" t="inlineStr">
        <is>
          <t>MED-Q1-2025</t>
        </is>
      </c>
      <c r="O12" s="28" t="n">
        <v>2</v>
      </c>
      <c r="P12" s="29" t="inlineStr">
        <is>
          <t>Quarterly premium</t>
        </is>
      </c>
    </row>
    <row r="13">
      <c r="A13" s="10" t="inlineStr">
        <is>
          <t>PAY-008</t>
        </is>
      </c>
      <c r="B13" s="10" t="inlineStr">
        <is>
          <t>HR-005</t>
        </is>
      </c>
      <c r="C13" s="32" t="inlineStr">
        <is>
          <t>Staff Bonuses</t>
        </is>
      </c>
      <c r="D13" s="10" t="inlineStr">
        <is>
          <t>HR</t>
        </is>
      </c>
      <c r="E13" s="10" t="inlineStr">
        <is>
          <t>Bonuses</t>
        </is>
      </c>
      <c r="F13" s="32" t="inlineStr">
        <is>
          <t>Q4 2024 Performance Bonuses</t>
        </is>
      </c>
      <c r="G13" s="10" t="inlineStr">
        <is>
          <t>SAR</t>
        </is>
      </c>
      <c r="H13" s="33" t="n">
        <v>450000</v>
      </c>
      <c r="I13" s="33">
        <f>IFERROR(H13*VLOOKUP(G13,FX_Rates.$A$6:$B$11,2,0),H13)</f>
        <v/>
      </c>
      <c r="J13" s="34" t="n">
        <v>45672</v>
      </c>
      <c r="K13" s="34" t="n">
        <v>45672</v>
      </c>
      <c r="L13" s="48" t="inlineStr">
        <is>
          <t>SCHEDULED</t>
        </is>
      </c>
      <c r="M13" s="32" t="inlineStr"/>
      <c r="N13" s="32" t="inlineStr">
        <is>
          <t>BONUS-Q4-2024</t>
        </is>
      </c>
      <c r="O13" s="10" t="n">
        <v>2</v>
      </c>
      <c r="P13" s="32" t="inlineStr">
        <is>
          <t>Sales team</t>
        </is>
      </c>
    </row>
    <row r="14">
      <c r="A14" s="28" t="inlineStr">
        <is>
          <t>PAY-009</t>
        </is>
      </c>
      <c r="B14" s="28" t="inlineStr">
        <is>
          <t>GOV-001</t>
        </is>
      </c>
      <c r="C14" s="29" t="inlineStr">
        <is>
          <t>Zakat, Tax and Customs Authority</t>
        </is>
      </c>
      <c r="D14" s="28" t="inlineStr">
        <is>
          <t>GOVT</t>
        </is>
      </c>
      <c r="E14" s="28" t="inlineStr">
        <is>
          <t>Tax</t>
        </is>
      </c>
      <c r="F14" s="29" t="inlineStr">
        <is>
          <t>Q4 2024 VAT Payment</t>
        </is>
      </c>
      <c r="G14" s="28" t="inlineStr">
        <is>
          <t>SAR</t>
        </is>
      </c>
      <c r="H14" s="30" t="n">
        <v>285000</v>
      </c>
      <c r="I14" s="30">
        <f>IFERROR(H14*VLOOKUP(G14,FX_Rates.$A$6:$B$11,2,0),H14)</f>
        <v/>
      </c>
      <c r="J14" s="31" t="n">
        <v>45657</v>
      </c>
      <c r="K14" s="31" t="n">
        <v>45657</v>
      </c>
      <c r="L14" s="47" t="inlineStr">
        <is>
          <t>PENDING</t>
        </is>
      </c>
      <c r="M14" s="29" t="inlineStr"/>
      <c r="N14" s="29" t="inlineStr">
        <is>
          <t>VAT-Q4-2024</t>
        </is>
      </c>
      <c r="O14" s="28" t="n">
        <v>1</v>
      </c>
      <c r="P14" s="29" t="inlineStr">
        <is>
          <t>Quarterly VAT</t>
        </is>
      </c>
    </row>
    <row r="15">
      <c r="A15" s="10" t="inlineStr">
        <is>
          <t>PAY-010</t>
        </is>
      </c>
      <c r="B15" s="10" t="inlineStr">
        <is>
          <t>GOV-002</t>
        </is>
      </c>
      <c r="C15" s="32" t="inlineStr">
        <is>
          <t>Ministry of Labor</t>
        </is>
      </c>
      <c r="D15" s="10" t="inlineStr">
        <is>
          <t>GOVT</t>
        </is>
      </c>
      <c r="E15" s="10" t="inlineStr">
        <is>
          <t>Labor Fees</t>
        </is>
      </c>
      <c r="F15" s="32" t="inlineStr">
        <is>
          <t>Work Permit Renewals</t>
        </is>
      </c>
      <c r="G15" s="10" t="inlineStr">
        <is>
          <t>SAR</t>
        </is>
      </c>
      <c r="H15" s="33" t="n">
        <v>125000</v>
      </c>
      <c r="I15" s="33">
        <f>IFERROR(H15*VLOOKUP(G15,FX_Rates.$A$6:$B$11,2,0),H15)</f>
        <v/>
      </c>
      <c r="J15" s="34" t="n">
        <v>45667</v>
      </c>
      <c r="K15" s="34" t="n">
        <v>45667</v>
      </c>
      <c r="L15" s="47" t="inlineStr">
        <is>
          <t>PENDING</t>
        </is>
      </c>
      <c r="M15" s="32" t="inlineStr"/>
      <c r="N15" s="32" t="inlineStr">
        <is>
          <t>MOL-WP-2025</t>
        </is>
      </c>
      <c r="O15" s="10" t="n">
        <v>2</v>
      </c>
      <c r="P15" s="32" t="inlineStr">
        <is>
          <t>25 permits</t>
        </is>
      </c>
    </row>
    <row r="16">
      <c r="A16" s="28" t="inlineStr">
        <is>
          <t>PAY-011</t>
        </is>
      </c>
      <c r="B16" s="28" t="inlineStr">
        <is>
          <t>GOV-003</t>
        </is>
      </c>
      <c r="C16" s="29" t="inlineStr">
        <is>
          <t>Municipality Fees</t>
        </is>
      </c>
      <c r="D16" s="28" t="inlineStr">
        <is>
          <t>GOVT</t>
        </is>
      </c>
      <c r="E16" s="28" t="inlineStr">
        <is>
          <t>Municipal</t>
        </is>
      </c>
      <c r="F16" s="29" t="inlineStr">
        <is>
          <t>Annual Business License</t>
        </is>
      </c>
      <c r="G16" s="28" t="inlineStr">
        <is>
          <t>SAR</t>
        </is>
      </c>
      <c r="H16" s="30" t="n">
        <v>45000</v>
      </c>
      <c r="I16" s="30">
        <f>IFERROR(H16*VLOOKUP(G16,FX_Rates.$A$6:$B$11,2,0),H16)</f>
        <v/>
      </c>
      <c r="J16" s="31" t="n">
        <v>45662</v>
      </c>
      <c r="K16" s="31" t="n">
        <v>45662</v>
      </c>
      <c r="L16" s="48" t="inlineStr">
        <is>
          <t>SCHEDULED</t>
        </is>
      </c>
      <c r="M16" s="29" t="inlineStr"/>
      <c r="N16" s="29" t="inlineStr">
        <is>
          <t>MUNI-2025</t>
        </is>
      </c>
      <c r="O16" s="28" t="n">
        <v>3</v>
      </c>
      <c r="P16" s="29" t="inlineStr">
        <is>
          <t>Annual renewal</t>
        </is>
      </c>
    </row>
    <row r="17">
      <c r="A17" s="10" t="inlineStr">
        <is>
          <t>PAY-012</t>
        </is>
      </c>
      <c r="B17" s="10" t="inlineStr">
        <is>
          <t>STR-001</t>
        </is>
      </c>
      <c r="C17" s="32" t="inlineStr">
        <is>
          <t>Strategic Partner Alpha</t>
        </is>
      </c>
      <c r="D17" s="10" t="inlineStr">
        <is>
          <t>STRATEGIC</t>
        </is>
      </c>
      <c r="E17" s="10" t="inlineStr">
        <is>
          <t>Partnership</t>
        </is>
      </c>
      <c r="F17" s="32" t="inlineStr">
        <is>
          <t>Partnership Milestone Payment</t>
        </is>
      </c>
      <c r="G17" s="10" t="inlineStr">
        <is>
          <t>AED</t>
        </is>
      </c>
      <c r="H17" s="33" t="n">
        <v>500000</v>
      </c>
      <c r="I17" s="33">
        <f>IFERROR(H17*VLOOKUP(G17,FX_Rates.$A$6:$B$11,2,0),H17)</f>
        <v/>
      </c>
      <c r="J17" s="34" t="n">
        <v>45654</v>
      </c>
      <c r="K17" s="34" t="n">
        <v>45654</v>
      </c>
      <c r="L17" s="48" t="inlineStr">
        <is>
          <t>SCHEDULED</t>
        </is>
      </c>
      <c r="M17" s="32" t="inlineStr"/>
      <c r="N17" s="32" t="inlineStr">
        <is>
          <t>ALPHA-M3-2024</t>
        </is>
      </c>
      <c r="O17" s="10" t="n">
        <v>1</v>
      </c>
      <c r="P17" s="32" t="inlineStr">
        <is>
          <t>Milestone 3</t>
        </is>
      </c>
    </row>
    <row r="18">
      <c r="A18" s="28" t="inlineStr">
        <is>
          <t>PAY-013</t>
        </is>
      </c>
      <c r="B18" s="28" t="inlineStr">
        <is>
          <t>STR-002</t>
        </is>
      </c>
      <c r="C18" s="29" t="inlineStr">
        <is>
          <t>Investment Fund Beta</t>
        </is>
      </c>
      <c r="D18" s="28" t="inlineStr">
        <is>
          <t>STRATEGIC</t>
        </is>
      </c>
      <c r="E18" s="28" t="inlineStr">
        <is>
          <t>Investment</t>
        </is>
      </c>
      <c r="F18" s="29" t="inlineStr">
        <is>
          <t>Q4 Investment Commitment</t>
        </is>
      </c>
      <c r="G18" s="28" t="inlineStr">
        <is>
          <t>GBP</t>
        </is>
      </c>
      <c r="H18" s="30" t="n">
        <v>150000</v>
      </c>
      <c r="I18" s="30">
        <f>IFERROR(H18*VLOOKUP(G18,FX_Rates.$A$6:$B$11,2,0),H18)</f>
        <v/>
      </c>
      <c r="J18" s="31" t="n">
        <v>45677</v>
      </c>
      <c r="K18" s="31" t="n">
        <v>45677</v>
      </c>
      <c r="L18" s="47" t="inlineStr">
        <is>
          <t>PENDING</t>
        </is>
      </c>
      <c r="M18" s="29" t="inlineStr"/>
      <c r="N18" s="29" t="inlineStr">
        <is>
          <t>BETA-Q4-2024</t>
        </is>
      </c>
      <c r="O18" s="28" t="n">
        <v>2</v>
      </c>
      <c r="P18" s="29" t="inlineStr">
        <is>
          <t>Capital call</t>
        </is>
      </c>
    </row>
    <row r="19">
      <c r="A19" s="10" t="inlineStr">
        <is>
          <t>PAY-014</t>
        </is>
      </c>
      <c r="B19" s="10" t="inlineStr">
        <is>
          <t>STR-003</t>
        </is>
      </c>
      <c r="C19" s="32" t="inlineStr">
        <is>
          <t>JV Company Gamma</t>
        </is>
      </c>
      <c r="D19" s="10" t="inlineStr">
        <is>
          <t>STRATEGIC</t>
        </is>
      </c>
      <c r="E19" s="10" t="inlineStr">
        <is>
          <t>Joint Venture</t>
        </is>
      </c>
      <c r="F19" s="32" t="inlineStr">
        <is>
          <t>Monthly JV Contribution</t>
        </is>
      </c>
      <c r="G19" s="10" t="inlineStr">
        <is>
          <t>SGD</t>
        </is>
      </c>
      <c r="H19" s="33" t="n">
        <v>75000</v>
      </c>
      <c r="I19" s="33">
        <f>IFERROR(H19*VLOOKUP(G19,FX_Rates.$A$6:$B$11,2,0),H19)</f>
        <v/>
      </c>
      <c r="J19" s="34" t="n">
        <v>45662</v>
      </c>
      <c r="K19" s="34" t="n">
        <v>45662</v>
      </c>
      <c r="L19" s="48" t="inlineStr">
        <is>
          <t>SCHEDULED</t>
        </is>
      </c>
      <c r="M19" s="32" t="inlineStr"/>
      <c r="N19" s="32" t="inlineStr">
        <is>
          <t>GAMMA-JAN-2025</t>
        </is>
      </c>
      <c r="O19" s="10" t="n">
        <v>3</v>
      </c>
      <c r="P19" s="32" t="inlineStr">
        <is>
          <t>Monthly</t>
        </is>
      </c>
    </row>
    <row r="20">
      <c r="A20" s="28" t="inlineStr">
        <is>
          <t>PAY-015</t>
        </is>
      </c>
      <c r="B20" s="28" t="inlineStr">
        <is>
          <t>LOAN-001</t>
        </is>
      </c>
      <c r="C20" s="29" t="inlineStr">
        <is>
          <t>Saudi National Bank</t>
        </is>
      </c>
      <c r="D20" s="28" t="inlineStr">
        <is>
          <t>LOAN</t>
        </is>
      </c>
      <c r="E20" s="28" t="inlineStr">
        <is>
          <t>Term Loan</t>
        </is>
      </c>
      <c r="F20" s="29" t="inlineStr">
        <is>
          <t>Working Capital - Principal + Interest</t>
        </is>
      </c>
      <c r="G20" s="28" t="inlineStr">
        <is>
          <t>SAR</t>
        </is>
      </c>
      <c r="H20" s="30" t="n">
        <v>525000</v>
      </c>
      <c r="I20" s="30">
        <f>IFERROR(H20*VLOOKUP(G20,FX_Rates.$A$6:$B$11,2,0),H20)</f>
        <v/>
      </c>
      <c r="J20" s="31" t="n">
        <v>45641</v>
      </c>
      <c r="K20" s="31" t="n">
        <v>45641</v>
      </c>
      <c r="L20" s="48" t="inlineStr">
        <is>
          <t>SCHEDULED</t>
        </is>
      </c>
      <c r="M20" s="29" t="inlineStr"/>
      <c r="N20" s="29" t="inlineStr">
        <is>
          <t>SNB-DEC-2024</t>
        </is>
      </c>
      <c r="O20" s="28" t="n">
        <v>1</v>
      </c>
      <c r="P20" s="29" t="inlineStr">
        <is>
          <t>Monthly installment</t>
        </is>
      </c>
    </row>
    <row r="21">
      <c r="A21" s="10" t="inlineStr">
        <is>
          <t>PAY-016</t>
        </is>
      </c>
      <c r="B21" s="10" t="inlineStr">
        <is>
          <t>LOAN-002</t>
        </is>
      </c>
      <c r="C21" s="32" t="inlineStr">
        <is>
          <t>Al Rajhi Bank</t>
        </is>
      </c>
      <c r="D21" s="10" t="inlineStr">
        <is>
          <t>LOAN</t>
        </is>
      </c>
      <c r="E21" s="10" t="inlineStr">
        <is>
          <t>Islamic Finance</t>
        </is>
      </c>
      <c r="F21" s="32" t="inlineStr">
        <is>
          <t>Murabaha Payment</t>
        </is>
      </c>
      <c r="G21" s="10" t="inlineStr">
        <is>
          <t>SAR</t>
        </is>
      </c>
      <c r="H21" s="33" t="n">
        <v>368000</v>
      </c>
      <c r="I21" s="33">
        <f>IFERROR(H21*VLOOKUP(G21,FX_Rates.$A$6:$B$11,2,0),H21)</f>
        <v/>
      </c>
      <c r="J21" s="34" t="n">
        <v>45646</v>
      </c>
      <c r="K21" s="34" t="n">
        <v>45646</v>
      </c>
      <c r="L21" s="47" t="inlineStr">
        <is>
          <t>PENDING</t>
        </is>
      </c>
      <c r="M21" s="32" t="inlineStr"/>
      <c r="N21" s="32" t="inlineStr">
        <is>
          <t>ARB-DEC-2024</t>
        </is>
      </c>
      <c r="O21" s="10" t="n">
        <v>1</v>
      </c>
      <c r="P21" s="32" t="inlineStr">
        <is>
          <t>Profit + Principal</t>
        </is>
      </c>
    </row>
    <row r="22">
      <c r="A22" s="28" t="inlineStr">
        <is>
          <t>PAY-017</t>
        </is>
      </c>
      <c r="B22" s="28" t="inlineStr">
        <is>
          <t>LOAN-003</t>
        </is>
      </c>
      <c r="C22" s="29" t="inlineStr">
        <is>
          <t>HSBC Saudi Arabia</t>
        </is>
      </c>
      <c r="D22" s="28" t="inlineStr">
        <is>
          <t>LOAN</t>
        </is>
      </c>
      <c r="E22" s="28" t="inlineStr">
        <is>
          <t>Revolving Credit</t>
        </is>
      </c>
      <c r="F22" s="29" t="inlineStr">
        <is>
          <t>Credit Line Interest</t>
        </is>
      </c>
      <c r="G22" s="28" t="inlineStr">
        <is>
          <t>USD</t>
        </is>
      </c>
      <c r="H22" s="30" t="n">
        <v>12500</v>
      </c>
      <c r="I22" s="30">
        <f>IFERROR(H22*VLOOKUP(G22,FX_Rates.$A$6:$B$11,2,0),H22)</f>
        <v/>
      </c>
      <c r="J22" s="31" t="n">
        <v>45654</v>
      </c>
      <c r="K22" s="31" t="n">
        <v>45654</v>
      </c>
      <c r="L22" s="48" t="inlineStr">
        <is>
          <t>SCHEDULED</t>
        </is>
      </c>
      <c r="M22" s="29" t="inlineStr"/>
      <c r="N22" s="29" t="inlineStr">
        <is>
          <t>HSBC-INT-DEC</t>
        </is>
      </c>
      <c r="O22" s="28" t="n">
        <v>2</v>
      </c>
      <c r="P22" s="29" t="inlineStr">
        <is>
          <t>Interest only</t>
        </is>
      </c>
    </row>
    <row r="23">
      <c r="A23" s="10" t="inlineStr">
        <is>
          <t>PAY-018</t>
        </is>
      </c>
      <c r="B23" s="10" t="inlineStr">
        <is>
          <t>LOAN-004</t>
        </is>
      </c>
      <c r="C23" s="32" t="inlineStr">
        <is>
          <t>Riyad Bank</t>
        </is>
      </c>
      <c r="D23" s="10" t="inlineStr">
        <is>
          <t>LOAN</t>
        </is>
      </c>
      <c r="E23" s="10" t="inlineStr">
        <is>
          <t>Equipment Finance</t>
        </is>
      </c>
      <c r="F23" s="32" t="inlineStr">
        <is>
          <t>Vehicle Lease Payment</t>
        </is>
      </c>
      <c r="G23" s="10" t="inlineStr">
        <is>
          <t>SAR</t>
        </is>
      </c>
      <c r="H23" s="33" t="n">
        <v>89200</v>
      </c>
      <c r="I23" s="33">
        <f>IFERROR(H23*VLOOKUP(G23,FX_Rates.$A$6:$B$11,2,0),H23)</f>
        <v/>
      </c>
      <c r="J23" s="34" t="n">
        <v>45662</v>
      </c>
      <c r="K23" s="34" t="n">
        <v>45662</v>
      </c>
      <c r="L23" s="48" t="inlineStr">
        <is>
          <t>SCHEDULED</t>
        </is>
      </c>
      <c r="M23" s="32" t="inlineStr"/>
      <c r="N23" s="32" t="inlineStr">
        <is>
          <t>RYD-VEH-JAN</t>
        </is>
      </c>
      <c r="O23" s="10" t="n">
        <v>2</v>
      </c>
      <c r="P23" s="32" t="inlineStr">
        <is>
          <t>Monthly lease</t>
        </is>
      </c>
    </row>
    <row r="24">
      <c r="A24" s="28" t="inlineStr">
        <is>
          <t>PAY-019</t>
        </is>
      </c>
      <c r="B24" s="28" t="inlineStr">
        <is>
          <t>OPS-001</t>
        </is>
      </c>
      <c r="C24" s="29" t="inlineStr">
        <is>
          <t>Property Management Co</t>
        </is>
      </c>
      <c r="D24" s="28" t="inlineStr">
        <is>
          <t>OPEX</t>
        </is>
      </c>
      <c r="E24" s="28" t="inlineStr">
        <is>
          <t>Rent</t>
        </is>
      </c>
      <c r="F24" s="29" t="inlineStr">
        <is>
          <t>January 2025 Office Rent</t>
        </is>
      </c>
      <c r="G24" s="28" t="inlineStr">
        <is>
          <t>SAR</t>
        </is>
      </c>
      <c r="H24" s="30" t="n">
        <v>150000</v>
      </c>
      <c r="I24" s="30">
        <f>IFERROR(H24*VLOOKUP(G24,FX_Rates.$A$6:$B$11,2,0),H24)</f>
        <v/>
      </c>
      <c r="J24" s="31" t="n">
        <v>45658</v>
      </c>
      <c r="K24" s="31" t="n">
        <v>45658</v>
      </c>
      <c r="L24" s="48" t="inlineStr">
        <is>
          <t>SCHEDULED</t>
        </is>
      </c>
      <c r="M24" s="29" t="inlineStr"/>
      <c r="N24" s="29" t="inlineStr">
        <is>
          <t>RENT-JAN-2025</t>
        </is>
      </c>
      <c r="O24" s="28" t="n">
        <v>1</v>
      </c>
      <c r="P24" s="29" t="inlineStr">
        <is>
          <t>HQ Office</t>
        </is>
      </c>
    </row>
    <row r="25">
      <c r="A25" s="10" t="inlineStr">
        <is>
          <t>PAY-020</t>
        </is>
      </c>
      <c r="B25" s="10" t="inlineStr">
        <is>
          <t>OPS-002</t>
        </is>
      </c>
      <c r="C25" s="32" t="inlineStr">
        <is>
          <t>Security Services Co</t>
        </is>
      </c>
      <c r="D25" s="10" t="inlineStr">
        <is>
          <t>OPEX</t>
        </is>
      </c>
      <c r="E25" s="10" t="inlineStr">
        <is>
          <t>Security</t>
        </is>
      </c>
      <c r="F25" s="32" t="inlineStr">
        <is>
          <t>January 2025 Security</t>
        </is>
      </c>
      <c r="G25" s="10" t="inlineStr">
        <is>
          <t>SAR</t>
        </is>
      </c>
      <c r="H25" s="33" t="n">
        <v>35000</v>
      </c>
      <c r="I25" s="33">
        <f>IFERROR(H25*VLOOKUP(G25,FX_Rates.$A$6:$B$11,2,0),H25)</f>
        <v/>
      </c>
      <c r="J25" s="34" t="n">
        <v>45662</v>
      </c>
      <c r="K25" s="34" t="n">
        <v>45662</v>
      </c>
      <c r="L25" s="48" t="inlineStr">
        <is>
          <t>SCHEDULED</t>
        </is>
      </c>
      <c r="M25" s="32" t="inlineStr"/>
      <c r="N25" s="32" t="inlineStr">
        <is>
          <t>SEC-JAN-2025</t>
        </is>
      </c>
      <c r="O25" s="10" t="n">
        <v>3</v>
      </c>
      <c r="P25" s="32" t="inlineStr"/>
    </row>
    <row r="26">
      <c r="A26" s="28" t="inlineStr">
        <is>
          <t>PAY-021</t>
        </is>
      </c>
      <c r="B26" s="28" t="inlineStr">
        <is>
          <t>OPS-004</t>
        </is>
      </c>
      <c r="C26" s="29" t="inlineStr">
        <is>
          <t>Insurance Corporation</t>
        </is>
      </c>
      <c r="D26" s="28" t="inlineStr">
        <is>
          <t>OPEX</t>
        </is>
      </c>
      <c r="E26" s="28" t="inlineStr">
        <is>
          <t>Insurance</t>
        </is>
      </c>
      <c r="F26" s="29" t="inlineStr">
        <is>
          <t>Q1 2025 Property Insurance</t>
        </is>
      </c>
      <c r="G26" s="28" t="inlineStr">
        <is>
          <t>SAR</t>
        </is>
      </c>
      <c r="H26" s="30" t="n">
        <v>85000</v>
      </c>
      <c r="I26" s="30">
        <f>IFERROR(H26*VLOOKUP(G26,FX_Rates.$A$6:$B$11,2,0),H26)</f>
        <v/>
      </c>
      <c r="J26" s="31" t="n">
        <v>45658</v>
      </c>
      <c r="K26" s="31" t="n">
        <v>45658</v>
      </c>
      <c r="L26" s="47" t="inlineStr">
        <is>
          <t>PENDING</t>
        </is>
      </c>
      <c r="M26" s="29" t="inlineStr"/>
      <c r="N26" s="29" t="inlineStr">
        <is>
          <t>INS-Q1-2025</t>
        </is>
      </c>
      <c r="O26" s="28" t="n">
        <v>2</v>
      </c>
      <c r="P26" s="29" t="inlineStr">
        <is>
          <t>Quarterly premium</t>
        </is>
      </c>
    </row>
    <row r="27">
      <c r="A27" s="10" t="inlineStr">
        <is>
          <t>PAY-022</t>
        </is>
      </c>
      <c r="B27" s="10" t="inlineStr">
        <is>
          <t>VND-005</t>
        </is>
      </c>
      <c r="C27" s="32" t="inlineStr">
        <is>
          <t>Microsoft Corporation</t>
        </is>
      </c>
      <c r="D27" s="10" t="inlineStr">
        <is>
          <t>VENDOR</t>
        </is>
      </c>
      <c r="E27" s="10" t="inlineStr">
        <is>
          <t>Software</t>
        </is>
      </c>
      <c r="F27" s="32" t="inlineStr">
        <is>
          <t>Annual License Renewal</t>
        </is>
      </c>
      <c r="G27" s="10" t="inlineStr">
        <is>
          <t>USD</t>
        </is>
      </c>
      <c r="H27" s="33" t="n">
        <v>45000</v>
      </c>
      <c r="I27" s="33">
        <f>IFERROR(H27*VLOOKUP(G27,FX_Rates.$A$6:$B$11,2,0),H27)</f>
        <v/>
      </c>
      <c r="J27" s="34" t="n">
        <v>45636</v>
      </c>
      <c r="K27" s="34" t="n">
        <v>45636</v>
      </c>
      <c r="L27" s="49" t="inlineStr">
        <is>
          <t>PAID</t>
        </is>
      </c>
      <c r="M27" s="34" t="n">
        <v>45634</v>
      </c>
      <c r="N27" s="32" t="inlineStr">
        <is>
          <t>MS-365-2025</t>
        </is>
      </c>
      <c r="O27" s="10" t="n">
        <v>2</v>
      </c>
      <c r="P27" s="32" t="inlineStr">
        <is>
          <t>Annual subscription</t>
        </is>
      </c>
    </row>
    <row r="28">
      <c r="A28" s="28" t="inlineStr">
        <is>
          <t>PAY-023</t>
        </is>
      </c>
      <c r="B28" s="28" t="inlineStr">
        <is>
          <t>HR-004</t>
        </is>
      </c>
      <c r="C28" s="29" t="inlineStr">
        <is>
          <t>End of Service Provisions</t>
        </is>
      </c>
      <c r="D28" s="28" t="inlineStr">
        <is>
          <t>HR</t>
        </is>
      </c>
      <c r="E28" s="28" t="inlineStr">
        <is>
          <t>EOS</t>
        </is>
      </c>
      <c r="F28" s="29" t="inlineStr">
        <is>
          <t>Employee Resignation EOS</t>
        </is>
      </c>
      <c r="G28" s="28" t="inlineStr">
        <is>
          <t>SAR</t>
        </is>
      </c>
      <c r="H28" s="30" t="n">
        <v>95000</v>
      </c>
      <c r="I28" s="30">
        <f>IFERROR(H28*VLOOKUP(G28,FX_Rates.$A$6:$B$11,2,0),H28)</f>
        <v/>
      </c>
      <c r="J28" s="31" t="n">
        <v>45662</v>
      </c>
      <c r="K28" s="31" t="n">
        <v>45662</v>
      </c>
      <c r="L28" s="47" t="inlineStr">
        <is>
          <t>PENDING</t>
        </is>
      </c>
      <c r="M28" s="29" t="inlineStr"/>
      <c r="N28" s="29" t="inlineStr">
        <is>
          <t>EOS-JAN-2025</t>
        </is>
      </c>
      <c r="O28" s="28" t="n">
        <v>2</v>
      </c>
      <c r="P28" s="29" t="inlineStr">
        <is>
          <t>5 resignations</t>
        </is>
      </c>
    </row>
    <row r="29">
      <c r="A29" s="10" t="inlineStr">
        <is>
          <t>PAY-024</t>
        </is>
      </c>
      <c r="B29" s="10" t="inlineStr">
        <is>
          <t>LOAN-005</t>
        </is>
      </c>
      <c r="C29" s="32" t="inlineStr">
        <is>
          <t>Emirates NBD</t>
        </is>
      </c>
      <c r="D29" s="10" t="inlineStr">
        <is>
          <t>LOAN</t>
        </is>
      </c>
      <c r="E29" s="10" t="inlineStr">
        <is>
          <t>Trade Finance</t>
        </is>
      </c>
      <c r="F29" s="32" t="inlineStr">
        <is>
          <t>LC Settlement</t>
        </is>
      </c>
      <c r="G29" s="10" t="inlineStr">
        <is>
          <t>AED</t>
        </is>
      </c>
      <c r="H29" s="33" t="n">
        <v>465000</v>
      </c>
      <c r="I29" s="33">
        <f>IFERROR(H29*VLOOKUP(G29,FX_Rates.$A$6:$B$11,2,0),H29)</f>
        <v/>
      </c>
      <c r="J29" s="34" t="n">
        <v>45667</v>
      </c>
      <c r="K29" s="34" t="n">
        <v>45667</v>
      </c>
      <c r="L29" s="47" t="inlineStr">
        <is>
          <t>PENDING</t>
        </is>
      </c>
      <c r="M29" s="32" t="inlineStr"/>
      <c r="N29" s="32" t="inlineStr">
        <is>
          <t>ENBD-LC-JAN</t>
        </is>
      </c>
      <c r="O29" s="10" t="n">
        <v>1</v>
      </c>
      <c r="P29" s="32" t="inlineStr">
        <is>
          <t>Trade finance</t>
        </is>
      </c>
    </row>
    <row r="30">
      <c r="A30" s="28" t="inlineStr">
        <is>
          <t>PAY-025</t>
        </is>
      </c>
      <c r="B30" s="28" t="inlineStr">
        <is>
          <t>STR-004</t>
        </is>
      </c>
      <c r="C30" s="29" t="inlineStr">
        <is>
          <t>Acquisition Target Delta</t>
        </is>
      </c>
      <c r="D30" s="28" t="inlineStr">
        <is>
          <t>STRATEGIC</t>
        </is>
      </c>
      <c r="E30" s="28" t="inlineStr">
        <is>
          <t>M&amp;A</t>
        </is>
      </c>
      <c r="F30" s="29" t="inlineStr">
        <is>
          <t>Due Diligence Fees</t>
        </is>
      </c>
      <c r="G30" s="28" t="inlineStr">
        <is>
          <t>EUR</t>
        </is>
      </c>
      <c r="H30" s="30" t="n">
        <v>85000</v>
      </c>
      <c r="I30" s="30">
        <f>IFERROR(H30*VLOOKUP(G30,FX_Rates.$A$6:$B$11,2,0),H30)</f>
        <v/>
      </c>
      <c r="J30" s="31" t="n">
        <v>45656</v>
      </c>
      <c r="K30" s="31" t="n">
        <v>45656</v>
      </c>
      <c r="L30" s="50" t="inlineStr">
        <is>
          <t>POSTPONED</t>
        </is>
      </c>
      <c r="M30" s="29" t="inlineStr"/>
      <c r="N30" s="29" t="inlineStr">
        <is>
          <t>DELTA-DD-2024</t>
        </is>
      </c>
      <c r="O30" s="28" t="n">
        <v>2</v>
      </c>
      <c r="P30" s="29" t="inlineStr">
        <is>
          <t>Delayed to Q1</t>
        </is>
      </c>
    </row>
    <row r="31">
      <c r="A31" s="35" t="n"/>
      <c r="B31" s="35" t="n"/>
      <c r="C31" s="35">
        <f>IFERROR(IF(B31="","",VLOOKUP(B31,Vendor_Master.$A$4:$B$100,2,0)),"")</f>
        <v/>
      </c>
      <c r="D31" s="35" t="n"/>
      <c r="E31" s="35" t="n"/>
      <c r="F31" s="35" t="n"/>
      <c r="G31" s="35" t="n"/>
      <c r="H31" s="35" t="n"/>
      <c r="I31" s="36">
        <f>IFERROR(IF(H31="","",H31*VLOOKUP(G31,FX_Rates.$A$6:$B$11,2,0)),0)</f>
        <v/>
      </c>
      <c r="J31" s="35" t="n"/>
      <c r="K31" s="35" t="n"/>
      <c r="L31" s="35" t="n"/>
      <c r="M31" s="35" t="n"/>
      <c r="N31" s="35" t="n"/>
      <c r="O31" s="35" t="n"/>
      <c r="P31" s="35" t="n"/>
    </row>
    <row r="32">
      <c r="A32" s="35" t="n"/>
      <c r="B32" s="35" t="n"/>
      <c r="C32" s="35">
        <f>IFERROR(IF(B32="","",VLOOKUP(B32,Vendor_Master.$A$4:$B$100,2,0)),"")</f>
        <v/>
      </c>
      <c r="D32" s="35" t="n"/>
      <c r="E32" s="35" t="n"/>
      <c r="F32" s="35" t="n"/>
      <c r="G32" s="35" t="n"/>
      <c r="H32" s="35" t="n"/>
      <c r="I32" s="36">
        <f>IFERROR(IF(H32="","",H32*VLOOKUP(G32,FX_Rates.$A$6:$B$11,2,0)),0)</f>
        <v/>
      </c>
      <c r="J32" s="35" t="n"/>
      <c r="K32" s="35" t="n"/>
      <c r="L32" s="35" t="n"/>
      <c r="M32" s="35" t="n"/>
      <c r="N32" s="35" t="n"/>
      <c r="O32" s="35" t="n"/>
      <c r="P32" s="35" t="n"/>
    </row>
    <row r="33">
      <c r="A33" s="35" t="n"/>
      <c r="B33" s="35" t="n"/>
      <c r="C33" s="35">
        <f>IFERROR(IF(B33="","",VLOOKUP(B33,Vendor_Master.$A$4:$B$100,2,0)),"")</f>
        <v/>
      </c>
      <c r="D33" s="35" t="n"/>
      <c r="E33" s="35" t="n"/>
      <c r="F33" s="35" t="n"/>
      <c r="G33" s="35" t="n"/>
      <c r="H33" s="35" t="n"/>
      <c r="I33" s="36">
        <f>IFERROR(IF(H33="","",H33*VLOOKUP(G33,FX_Rates.$A$6:$B$11,2,0)),0)</f>
        <v/>
      </c>
      <c r="J33" s="35" t="n"/>
      <c r="K33" s="35" t="n"/>
      <c r="L33" s="35" t="n"/>
      <c r="M33" s="35" t="n"/>
      <c r="N33" s="35" t="n"/>
      <c r="O33" s="35" t="n"/>
      <c r="P33" s="35" t="n"/>
    </row>
    <row r="34">
      <c r="A34" s="35" t="n"/>
      <c r="B34" s="35" t="n"/>
      <c r="C34" s="35">
        <f>IFERROR(IF(B34="","",VLOOKUP(B34,Vendor_Master.$A$4:$B$100,2,0)),"")</f>
        <v/>
      </c>
      <c r="D34" s="35" t="n"/>
      <c r="E34" s="35" t="n"/>
      <c r="F34" s="35" t="n"/>
      <c r="G34" s="35" t="n"/>
      <c r="H34" s="35" t="n"/>
      <c r="I34" s="36">
        <f>IFERROR(IF(H34="","",H34*VLOOKUP(G34,FX_Rates.$A$6:$B$11,2,0)),0)</f>
        <v/>
      </c>
      <c r="J34" s="35" t="n"/>
      <c r="K34" s="35" t="n"/>
      <c r="L34" s="35" t="n"/>
      <c r="M34" s="35" t="n"/>
      <c r="N34" s="35" t="n"/>
      <c r="O34" s="35" t="n"/>
      <c r="P34" s="35" t="n"/>
    </row>
    <row r="35">
      <c r="A35" s="35" t="n"/>
      <c r="B35" s="35" t="n"/>
      <c r="C35" s="35">
        <f>IFERROR(IF(B35="","",VLOOKUP(B35,Vendor_Master.$A$4:$B$100,2,0)),"")</f>
        <v/>
      </c>
      <c r="D35" s="35" t="n"/>
      <c r="E35" s="35" t="n"/>
      <c r="F35" s="35" t="n"/>
      <c r="G35" s="35" t="n"/>
      <c r="H35" s="35" t="n"/>
      <c r="I35" s="36">
        <f>IFERROR(IF(H35="","",H35*VLOOKUP(G35,FX_Rates.$A$6:$B$11,2,0)),0)</f>
        <v/>
      </c>
      <c r="J35" s="35" t="n"/>
      <c r="K35" s="35" t="n"/>
      <c r="L35" s="35" t="n"/>
      <c r="M35" s="35" t="n"/>
      <c r="N35" s="35" t="n"/>
      <c r="O35" s="35" t="n"/>
      <c r="P35" s="35" t="n"/>
    </row>
    <row r="36">
      <c r="A36" s="35" t="n"/>
      <c r="B36" s="35" t="n"/>
      <c r="C36" s="35">
        <f>IFERROR(IF(B36="","",VLOOKUP(B36,Vendor_Master.$A$4:$B$100,2,0)),"")</f>
        <v/>
      </c>
      <c r="D36" s="35" t="n"/>
      <c r="E36" s="35" t="n"/>
      <c r="F36" s="35" t="n"/>
      <c r="G36" s="35" t="n"/>
      <c r="H36" s="35" t="n"/>
      <c r="I36" s="36">
        <f>IFERROR(IF(H36="","",H36*VLOOKUP(G36,FX_Rates.$A$6:$B$11,2,0)),0)</f>
        <v/>
      </c>
      <c r="J36" s="35" t="n"/>
      <c r="K36" s="35" t="n"/>
      <c r="L36" s="35" t="n"/>
      <c r="M36" s="35" t="n"/>
      <c r="N36" s="35" t="n"/>
      <c r="O36" s="35" t="n"/>
      <c r="P36" s="35" t="n"/>
    </row>
    <row r="37">
      <c r="A37" s="35" t="n"/>
      <c r="B37" s="35" t="n"/>
      <c r="C37" s="35">
        <f>IFERROR(IF(B37="","",VLOOKUP(B37,Vendor_Master.$A$4:$B$100,2,0)),"")</f>
        <v/>
      </c>
      <c r="D37" s="35" t="n"/>
      <c r="E37" s="35" t="n"/>
      <c r="F37" s="35" t="n"/>
      <c r="G37" s="35" t="n"/>
      <c r="H37" s="35" t="n"/>
      <c r="I37" s="36">
        <f>IFERROR(IF(H37="","",H37*VLOOKUP(G37,FX_Rates.$A$6:$B$11,2,0)),0)</f>
        <v/>
      </c>
      <c r="J37" s="35" t="n"/>
      <c r="K37" s="35" t="n"/>
      <c r="L37" s="35" t="n"/>
      <c r="M37" s="35" t="n"/>
      <c r="N37" s="35" t="n"/>
      <c r="O37" s="35" t="n"/>
      <c r="P37" s="35" t="n"/>
    </row>
    <row r="38">
      <c r="A38" s="35" t="n"/>
      <c r="B38" s="35" t="n"/>
      <c r="C38" s="35">
        <f>IFERROR(IF(B38="","",VLOOKUP(B38,Vendor_Master.$A$4:$B$100,2,0)),"")</f>
        <v/>
      </c>
      <c r="D38" s="35" t="n"/>
      <c r="E38" s="35" t="n"/>
      <c r="F38" s="35" t="n"/>
      <c r="G38" s="35" t="n"/>
      <c r="H38" s="35" t="n"/>
      <c r="I38" s="36">
        <f>IFERROR(IF(H38="","",H38*VLOOKUP(G38,FX_Rates.$A$6:$B$11,2,0)),0)</f>
        <v/>
      </c>
      <c r="J38" s="35" t="n"/>
      <c r="K38" s="35" t="n"/>
      <c r="L38" s="35" t="n"/>
      <c r="M38" s="35" t="n"/>
      <c r="N38" s="35" t="n"/>
      <c r="O38" s="35" t="n"/>
      <c r="P38" s="35" t="n"/>
    </row>
    <row r="39">
      <c r="A39" s="35" t="n"/>
      <c r="B39" s="35" t="n"/>
      <c r="C39" s="35">
        <f>IFERROR(IF(B39="","",VLOOKUP(B39,Vendor_Master.$A$4:$B$100,2,0)),"")</f>
        <v/>
      </c>
      <c r="D39" s="35" t="n"/>
      <c r="E39" s="35" t="n"/>
      <c r="F39" s="35" t="n"/>
      <c r="G39" s="35" t="n"/>
      <c r="H39" s="35" t="n"/>
      <c r="I39" s="36">
        <f>IFERROR(IF(H39="","",H39*VLOOKUP(G39,FX_Rates.$A$6:$B$11,2,0)),0)</f>
        <v/>
      </c>
      <c r="J39" s="35" t="n"/>
      <c r="K39" s="35" t="n"/>
      <c r="L39" s="35" t="n"/>
      <c r="M39" s="35" t="n"/>
      <c r="N39" s="35" t="n"/>
      <c r="O39" s="35" t="n"/>
      <c r="P39" s="35" t="n"/>
    </row>
    <row r="40">
      <c r="A40" s="35" t="n"/>
      <c r="B40" s="35" t="n"/>
      <c r="C40" s="35">
        <f>IFERROR(IF(B40="","",VLOOKUP(B40,Vendor_Master.$A$4:$B$100,2,0)),"")</f>
        <v/>
      </c>
      <c r="D40" s="35" t="n"/>
      <c r="E40" s="35" t="n"/>
      <c r="F40" s="35" t="n"/>
      <c r="G40" s="35" t="n"/>
      <c r="H40" s="35" t="n"/>
      <c r="I40" s="36">
        <f>IFERROR(IF(H40="","",H40*VLOOKUP(G40,FX_Rates.$A$6:$B$11,2,0)),0)</f>
        <v/>
      </c>
      <c r="J40" s="35" t="n"/>
      <c r="K40" s="35" t="n"/>
      <c r="L40" s="35" t="n"/>
      <c r="M40" s="35" t="n"/>
      <c r="N40" s="35" t="n"/>
      <c r="O40" s="35" t="n"/>
      <c r="P40" s="35" t="n"/>
    </row>
    <row r="41">
      <c r="A41" s="35" t="n"/>
      <c r="B41" s="35" t="n"/>
      <c r="C41" s="35">
        <f>IFERROR(IF(B41="","",VLOOKUP(B41,Vendor_Master.$A$4:$B$100,2,0)),"")</f>
        <v/>
      </c>
      <c r="D41" s="35" t="n"/>
      <c r="E41" s="35" t="n"/>
      <c r="F41" s="35" t="n"/>
      <c r="G41" s="35" t="n"/>
      <c r="H41" s="35" t="n"/>
      <c r="I41" s="36">
        <f>IFERROR(IF(H41="","",H41*VLOOKUP(G41,FX_Rates.$A$6:$B$11,2,0)),0)</f>
        <v/>
      </c>
      <c r="J41" s="35" t="n"/>
      <c r="K41" s="35" t="n"/>
      <c r="L41" s="35" t="n"/>
      <c r="M41" s="35" t="n"/>
      <c r="N41" s="35" t="n"/>
      <c r="O41" s="35" t="n"/>
      <c r="P41" s="35" t="n"/>
    </row>
    <row r="42">
      <c r="A42" s="35" t="n"/>
      <c r="B42" s="35" t="n"/>
      <c r="C42" s="35">
        <f>IFERROR(IF(B42="","",VLOOKUP(B42,Vendor_Master.$A$4:$B$100,2,0)),"")</f>
        <v/>
      </c>
      <c r="D42" s="35" t="n"/>
      <c r="E42" s="35" t="n"/>
      <c r="F42" s="35" t="n"/>
      <c r="G42" s="35" t="n"/>
      <c r="H42" s="35" t="n"/>
      <c r="I42" s="36">
        <f>IFERROR(IF(H42="","",H42*VLOOKUP(G42,FX_Rates.$A$6:$B$11,2,0)),0)</f>
        <v/>
      </c>
      <c r="J42" s="35" t="n"/>
      <c r="K42" s="35" t="n"/>
      <c r="L42" s="35" t="n"/>
      <c r="M42" s="35" t="n"/>
      <c r="N42" s="35" t="n"/>
      <c r="O42" s="35" t="n"/>
      <c r="P42" s="35" t="n"/>
    </row>
    <row r="43">
      <c r="A43" s="35" t="n"/>
      <c r="B43" s="35" t="n"/>
      <c r="C43" s="35">
        <f>IFERROR(IF(B43="","",VLOOKUP(B43,Vendor_Master.$A$4:$B$100,2,0)),"")</f>
        <v/>
      </c>
      <c r="D43" s="35" t="n"/>
      <c r="E43" s="35" t="n"/>
      <c r="F43" s="35" t="n"/>
      <c r="G43" s="35" t="n"/>
      <c r="H43" s="35" t="n"/>
      <c r="I43" s="36">
        <f>IFERROR(IF(H43="","",H43*VLOOKUP(G43,FX_Rates.$A$6:$B$11,2,0)),0)</f>
        <v/>
      </c>
      <c r="J43" s="35" t="n"/>
      <c r="K43" s="35" t="n"/>
      <c r="L43" s="35" t="n"/>
      <c r="M43" s="35" t="n"/>
      <c r="N43" s="35" t="n"/>
      <c r="O43" s="35" t="n"/>
      <c r="P43" s="35" t="n"/>
    </row>
    <row r="44">
      <c r="A44" s="35" t="n"/>
      <c r="B44" s="35" t="n"/>
      <c r="C44" s="35">
        <f>IFERROR(IF(B44="","",VLOOKUP(B44,Vendor_Master.$A$4:$B$100,2,0)),"")</f>
        <v/>
      </c>
      <c r="D44" s="35" t="n"/>
      <c r="E44" s="35" t="n"/>
      <c r="F44" s="35" t="n"/>
      <c r="G44" s="35" t="n"/>
      <c r="H44" s="35" t="n"/>
      <c r="I44" s="36">
        <f>IFERROR(IF(H44="","",H44*VLOOKUP(G44,FX_Rates.$A$6:$B$11,2,0)),0)</f>
        <v/>
      </c>
      <c r="J44" s="35" t="n"/>
      <c r="K44" s="35" t="n"/>
      <c r="L44" s="35" t="n"/>
      <c r="M44" s="35" t="n"/>
      <c r="N44" s="35" t="n"/>
      <c r="O44" s="35" t="n"/>
      <c r="P44" s="35" t="n"/>
    </row>
    <row r="45">
      <c r="A45" s="35" t="n"/>
      <c r="B45" s="35" t="n"/>
      <c r="C45" s="35">
        <f>IFERROR(IF(B45="","",VLOOKUP(B45,Vendor_Master.$A$4:$B$100,2,0)),"")</f>
        <v/>
      </c>
      <c r="D45" s="35" t="n"/>
      <c r="E45" s="35" t="n"/>
      <c r="F45" s="35" t="n"/>
      <c r="G45" s="35" t="n"/>
      <c r="H45" s="35" t="n"/>
      <c r="I45" s="36">
        <f>IFERROR(IF(H45="","",H45*VLOOKUP(G45,FX_Rates.$A$6:$B$11,2,0)),0)</f>
        <v/>
      </c>
      <c r="J45" s="35" t="n"/>
      <c r="K45" s="35" t="n"/>
      <c r="L45" s="35" t="n"/>
      <c r="M45" s="35" t="n"/>
      <c r="N45" s="35" t="n"/>
      <c r="O45" s="35" t="n"/>
      <c r="P45" s="35" t="n"/>
    </row>
    <row r="46">
      <c r="A46" s="35" t="n"/>
      <c r="B46" s="35" t="n"/>
      <c r="C46" s="35">
        <f>IFERROR(IF(B46="","",VLOOKUP(B46,Vendor_Master.$A$4:$B$100,2,0)),"")</f>
        <v/>
      </c>
      <c r="D46" s="35" t="n"/>
      <c r="E46" s="35" t="n"/>
      <c r="F46" s="35" t="n"/>
      <c r="G46" s="35" t="n"/>
      <c r="H46" s="35" t="n"/>
      <c r="I46" s="36">
        <f>IFERROR(IF(H46="","",H46*VLOOKUP(G46,FX_Rates.$A$6:$B$11,2,0)),0)</f>
        <v/>
      </c>
      <c r="J46" s="35" t="n"/>
      <c r="K46" s="35" t="n"/>
      <c r="L46" s="35" t="n"/>
      <c r="M46" s="35" t="n"/>
      <c r="N46" s="35" t="n"/>
      <c r="O46" s="35" t="n"/>
      <c r="P46" s="35" t="n"/>
    </row>
    <row r="47">
      <c r="A47" s="35" t="n"/>
      <c r="B47" s="35" t="n"/>
      <c r="C47" s="35">
        <f>IFERROR(IF(B47="","",VLOOKUP(B47,Vendor_Master.$A$4:$B$100,2,0)),"")</f>
        <v/>
      </c>
      <c r="D47" s="35" t="n"/>
      <c r="E47" s="35" t="n"/>
      <c r="F47" s="35" t="n"/>
      <c r="G47" s="35" t="n"/>
      <c r="H47" s="35" t="n"/>
      <c r="I47" s="36">
        <f>IFERROR(IF(H47="","",H47*VLOOKUP(G47,FX_Rates.$A$6:$B$11,2,0)),0)</f>
        <v/>
      </c>
      <c r="J47" s="35" t="n"/>
      <c r="K47" s="35" t="n"/>
      <c r="L47" s="35" t="n"/>
      <c r="M47" s="35" t="n"/>
      <c r="N47" s="35" t="n"/>
      <c r="O47" s="35" t="n"/>
      <c r="P47" s="35" t="n"/>
    </row>
    <row r="48">
      <c r="A48" s="35" t="n"/>
      <c r="B48" s="35" t="n"/>
      <c r="C48" s="35">
        <f>IFERROR(IF(B48="","",VLOOKUP(B48,Vendor_Master.$A$4:$B$100,2,0)),"")</f>
        <v/>
      </c>
      <c r="D48" s="35" t="n"/>
      <c r="E48" s="35" t="n"/>
      <c r="F48" s="35" t="n"/>
      <c r="G48" s="35" t="n"/>
      <c r="H48" s="35" t="n"/>
      <c r="I48" s="36">
        <f>IFERROR(IF(H48="","",H48*VLOOKUP(G48,FX_Rates.$A$6:$B$11,2,0)),0)</f>
        <v/>
      </c>
      <c r="J48" s="35" t="n"/>
      <c r="K48" s="35" t="n"/>
      <c r="L48" s="35" t="n"/>
      <c r="M48" s="35" t="n"/>
      <c r="N48" s="35" t="n"/>
      <c r="O48" s="35" t="n"/>
      <c r="P48" s="35" t="n"/>
    </row>
    <row r="49">
      <c r="A49" s="35" t="n"/>
      <c r="B49" s="35" t="n"/>
      <c r="C49" s="35">
        <f>IFERROR(IF(B49="","",VLOOKUP(B49,Vendor_Master.$A$4:$B$100,2,0)),"")</f>
        <v/>
      </c>
      <c r="D49" s="35" t="n"/>
      <c r="E49" s="35" t="n"/>
      <c r="F49" s="35" t="n"/>
      <c r="G49" s="35" t="n"/>
      <c r="H49" s="35" t="n"/>
      <c r="I49" s="36">
        <f>IFERROR(IF(H49="","",H49*VLOOKUP(G49,FX_Rates.$A$6:$B$11,2,0)),0)</f>
        <v/>
      </c>
      <c r="J49" s="35" t="n"/>
      <c r="K49" s="35" t="n"/>
      <c r="L49" s="35" t="n"/>
      <c r="M49" s="35" t="n"/>
      <c r="N49" s="35" t="n"/>
      <c r="O49" s="35" t="n"/>
      <c r="P49" s="35" t="n"/>
    </row>
    <row r="50">
      <c r="A50" s="35" t="n"/>
      <c r="B50" s="35" t="n"/>
      <c r="C50" s="35">
        <f>IFERROR(IF(B50="","",VLOOKUP(B50,Vendor_Master.$A$4:$B$100,2,0)),"")</f>
        <v/>
      </c>
      <c r="D50" s="35" t="n"/>
      <c r="E50" s="35" t="n"/>
      <c r="F50" s="35" t="n"/>
      <c r="G50" s="35" t="n"/>
      <c r="H50" s="35" t="n"/>
      <c r="I50" s="36">
        <f>IFERROR(IF(H50="","",H50*VLOOKUP(G50,FX_Rates.$A$6:$B$11,2,0)),0)</f>
        <v/>
      </c>
      <c r="J50" s="35" t="n"/>
      <c r="K50" s="35" t="n"/>
      <c r="L50" s="35" t="n"/>
      <c r="M50" s="35" t="n"/>
      <c r="N50" s="35" t="n"/>
      <c r="O50" s="35" t="n"/>
      <c r="P50" s="35" t="n"/>
    </row>
    <row r="51">
      <c r="A51" s="35" t="n"/>
      <c r="B51" s="35" t="n"/>
      <c r="C51" s="35">
        <f>IFERROR(IF(B51="","",VLOOKUP(B51,Vendor_Master.$A$4:$B$100,2,0)),"")</f>
        <v/>
      </c>
      <c r="D51" s="35" t="n"/>
      <c r="E51" s="35" t="n"/>
      <c r="F51" s="35" t="n"/>
      <c r="G51" s="35" t="n"/>
      <c r="H51" s="35" t="n"/>
      <c r="I51" s="36">
        <f>IFERROR(IF(H51="","",H51*VLOOKUP(G51,FX_Rates.$A$6:$B$11,2,0)),0)</f>
        <v/>
      </c>
      <c r="J51" s="35" t="n"/>
      <c r="K51" s="35" t="n"/>
      <c r="L51" s="35" t="n"/>
      <c r="M51" s="35" t="n"/>
      <c r="N51" s="35" t="n"/>
      <c r="O51" s="35" t="n"/>
      <c r="P51" s="35" t="n"/>
    </row>
    <row r="52">
      <c r="A52" s="35" t="n"/>
      <c r="B52" s="35" t="n"/>
      <c r="C52" s="35">
        <f>IFERROR(IF(B52="","",VLOOKUP(B52,Vendor_Master.$A$4:$B$100,2,0)),"")</f>
        <v/>
      </c>
      <c r="D52" s="35" t="n"/>
      <c r="E52" s="35" t="n"/>
      <c r="F52" s="35" t="n"/>
      <c r="G52" s="35" t="n"/>
      <c r="H52" s="35" t="n"/>
      <c r="I52" s="36">
        <f>IFERROR(IF(H52="","",H52*VLOOKUP(G52,FX_Rates.$A$6:$B$11,2,0)),0)</f>
        <v/>
      </c>
      <c r="J52" s="35" t="n"/>
      <c r="K52" s="35" t="n"/>
      <c r="L52" s="35" t="n"/>
      <c r="M52" s="35" t="n"/>
      <c r="N52" s="35" t="n"/>
      <c r="O52" s="35" t="n"/>
      <c r="P52" s="35" t="n"/>
    </row>
    <row r="53">
      <c r="A53" s="35" t="n"/>
      <c r="B53" s="35" t="n"/>
      <c r="C53" s="35">
        <f>IFERROR(IF(B53="","",VLOOKUP(B53,Vendor_Master.$A$4:$B$100,2,0)),"")</f>
        <v/>
      </c>
      <c r="D53" s="35" t="n"/>
      <c r="E53" s="35" t="n"/>
      <c r="F53" s="35" t="n"/>
      <c r="G53" s="35" t="n"/>
      <c r="H53" s="35" t="n"/>
      <c r="I53" s="36">
        <f>IFERROR(IF(H53="","",H53*VLOOKUP(G53,FX_Rates.$A$6:$B$11,2,0)),0)</f>
        <v/>
      </c>
      <c r="J53" s="35" t="n"/>
      <c r="K53" s="35" t="n"/>
      <c r="L53" s="35" t="n"/>
      <c r="M53" s="35" t="n"/>
      <c r="N53" s="35" t="n"/>
      <c r="O53" s="35" t="n"/>
      <c r="P53" s="35" t="n"/>
    </row>
    <row r="54">
      <c r="A54" s="35" t="n"/>
      <c r="B54" s="35" t="n"/>
      <c r="C54" s="35">
        <f>IFERROR(IF(B54="","",VLOOKUP(B54,Vendor_Master.$A$4:$B$100,2,0)),"")</f>
        <v/>
      </c>
      <c r="D54" s="35" t="n"/>
      <c r="E54" s="35" t="n"/>
      <c r="F54" s="35" t="n"/>
      <c r="G54" s="35" t="n"/>
      <c r="H54" s="35" t="n"/>
      <c r="I54" s="36">
        <f>IFERROR(IF(H54="","",H54*VLOOKUP(G54,FX_Rates.$A$6:$B$11,2,0)),0)</f>
        <v/>
      </c>
      <c r="J54" s="35" t="n"/>
      <c r="K54" s="35" t="n"/>
      <c r="L54" s="35" t="n"/>
      <c r="M54" s="35" t="n"/>
      <c r="N54" s="35" t="n"/>
      <c r="O54" s="35" t="n"/>
      <c r="P54" s="35" t="n"/>
    </row>
    <row r="55">
      <c r="A55" s="35" t="n"/>
      <c r="B55" s="35" t="n"/>
      <c r="C55" s="35">
        <f>IFERROR(IF(B55="","",VLOOKUP(B55,Vendor_Master.$A$4:$B$100,2,0)),"")</f>
        <v/>
      </c>
      <c r="D55" s="35" t="n"/>
      <c r="E55" s="35" t="n"/>
      <c r="F55" s="35" t="n"/>
      <c r="G55" s="35" t="n"/>
      <c r="H55" s="35" t="n"/>
      <c r="I55" s="36">
        <f>IFERROR(IF(H55="","",H55*VLOOKUP(G55,FX_Rates.$A$6:$B$11,2,0)),0)</f>
        <v/>
      </c>
      <c r="J55" s="35" t="n"/>
      <c r="K55" s="35" t="n"/>
      <c r="L55" s="35" t="n"/>
      <c r="M55" s="35" t="n"/>
      <c r="N55" s="35" t="n"/>
      <c r="O55" s="35" t="n"/>
      <c r="P55" s="35" t="n"/>
    </row>
    <row r="56">
      <c r="A56" s="35" t="n"/>
      <c r="B56" s="35" t="n"/>
      <c r="C56" s="35">
        <f>IFERROR(IF(B56="","",VLOOKUP(B56,Vendor_Master.$A$4:$B$100,2,0)),"")</f>
        <v/>
      </c>
      <c r="D56" s="35" t="n"/>
      <c r="E56" s="35" t="n"/>
      <c r="F56" s="35" t="n"/>
      <c r="G56" s="35" t="n"/>
      <c r="H56" s="35" t="n"/>
      <c r="I56" s="36">
        <f>IFERROR(IF(H56="","",H56*VLOOKUP(G56,FX_Rates.$A$6:$B$11,2,0)),0)</f>
        <v/>
      </c>
      <c r="J56" s="35" t="n"/>
      <c r="K56" s="35" t="n"/>
      <c r="L56" s="35" t="n"/>
      <c r="M56" s="35" t="n"/>
      <c r="N56" s="35" t="n"/>
      <c r="O56" s="35" t="n"/>
      <c r="P56" s="35" t="n"/>
    </row>
    <row r="57">
      <c r="A57" s="35" t="n"/>
      <c r="B57" s="35" t="n"/>
      <c r="C57" s="35">
        <f>IFERROR(IF(B57="","",VLOOKUP(B57,Vendor_Master.$A$4:$B$100,2,0)),"")</f>
        <v/>
      </c>
      <c r="D57" s="35" t="n"/>
      <c r="E57" s="35" t="n"/>
      <c r="F57" s="35" t="n"/>
      <c r="G57" s="35" t="n"/>
      <c r="H57" s="35" t="n"/>
      <c r="I57" s="36">
        <f>IFERROR(IF(H57="","",H57*VLOOKUP(G57,FX_Rates.$A$6:$B$11,2,0)),0)</f>
        <v/>
      </c>
      <c r="J57" s="35" t="n"/>
      <c r="K57" s="35" t="n"/>
      <c r="L57" s="35" t="n"/>
      <c r="M57" s="35" t="n"/>
      <c r="N57" s="35" t="n"/>
      <c r="O57" s="35" t="n"/>
      <c r="P57" s="35" t="n"/>
    </row>
    <row r="58">
      <c r="A58" s="35" t="n"/>
      <c r="B58" s="35" t="n"/>
      <c r="C58" s="35">
        <f>IFERROR(IF(B58="","",VLOOKUP(B58,Vendor_Master.$A$4:$B$100,2,0)),"")</f>
        <v/>
      </c>
      <c r="D58" s="35" t="n"/>
      <c r="E58" s="35" t="n"/>
      <c r="F58" s="35" t="n"/>
      <c r="G58" s="35" t="n"/>
      <c r="H58" s="35" t="n"/>
      <c r="I58" s="36">
        <f>IFERROR(IF(H58="","",H58*VLOOKUP(G58,FX_Rates.$A$6:$B$11,2,0)),0)</f>
        <v/>
      </c>
      <c r="J58" s="35" t="n"/>
      <c r="K58" s="35" t="n"/>
      <c r="L58" s="35" t="n"/>
      <c r="M58" s="35" t="n"/>
      <c r="N58" s="35" t="n"/>
      <c r="O58" s="35" t="n"/>
      <c r="P58" s="35" t="n"/>
    </row>
    <row r="59">
      <c r="A59" s="35" t="n"/>
      <c r="B59" s="35" t="n"/>
      <c r="C59" s="35">
        <f>IFERROR(IF(B59="","",VLOOKUP(B59,Vendor_Master.$A$4:$B$100,2,0)),"")</f>
        <v/>
      </c>
      <c r="D59" s="35" t="n"/>
      <c r="E59" s="35" t="n"/>
      <c r="F59" s="35" t="n"/>
      <c r="G59" s="35" t="n"/>
      <c r="H59" s="35" t="n"/>
      <c r="I59" s="36">
        <f>IFERROR(IF(H59="","",H59*VLOOKUP(G59,FX_Rates.$A$6:$B$11,2,0)),0)</f>
        <v/>
      </c>
      <c r="J59" s="35" t="n"/>
      <c r="K59" s="35" t="n"/>
      <c r="L59" s="35" t="n"/>
      <c r="M59" s="35" t="n"/>
      <c r="N59" s="35" t="n"/>
      <c r="O59" s="35" t="n"/>
      <c r="P59" s="35" t="n"/>
    </row>
    <row r="60">
      <c r="A60" s="35" t="n"/>
      <c r="B60" s="35" t="n"/>
      <c r="C60" s="35">
        <f>IFERROR(IF(B60="","",VLOOKUP(B60,Vendor_Master.$A$4:$B$100,2,0)),"")</f>
        <v/>
      </c>
      <c r="D60" s="35" t="n"/>
      <c r="E60" s="35" t="n"/>
      <c r="F60" s="35" t="n"/>
      <c r="G60" s="35" t="n"/>
      <c r="H60" s="35" t="n"/>
      <c r="I60" s="36">
        <f>IFERROR(IF(H60="","",H60*VLOOKUP(G60,FX_Rates.$A$6:$B$11,2,0)),0)</f>
        <v/>
      </c>
      <c r="J60" s="35" t="n"/>
      <c r="K60" s="35" t="n"/>
      <c r="L60" s="35" t="n"/>
      <c r="M60" s="35" t="n"/>
      <c r="N60" s="35" t="n"/>
      <c r="O60" s="35" t="n"/>
      <c r="P60" s="35" t="n"/>
    </row>
    <row r="61">
      <c r="A61" s="35" t="n"/>
      <c r="B61" s="35" t="n"/>
      <c r="C61" s="35">
        <f>IFERROR(IF(B61="","",VLOOKUP(B61,Vendor_Master.$A$4:$B$100,2,0)),"")</f>
        <v/>
      </c>
      <c r="D61" s="35" t="n"/>
      <c r="E61" s="35" t="n"/>
      <c r="F61" s="35" t="n"/>
      <c r="G61" s="35" t="n"/>
      <c r="H61" s="35" t="n"/>
      <c r="I61" s="36">
        <f>IFERROR(IF(H61="","",H61*VLOOKUP(G61,FX_Rates.$A$6:$B$11,2,0)),0)</f>
        <v/>
      </c>
      <c r="J61" s="35" t="n"/>
      <c r="K61" s="35" t="n"/>
      <c r="L61" s="35" t="n"/>
      <c r="M61" s="35" t="n"/>
      <c r="N61" s="35" t="n"/>
      <c r="O61" s="35" t="n"/>
      <c r="P61" s="35" t="n"/>
    </row>
    <row r="62">
      <c r="A62" s="35" t="n"/>
      <c r="B62" s="35" t="n"/>
      <c r="C62" s="35">
        <f>IFERROR(IF(B62="","",VLOOKUP(B62,Vendor_Master.$A$4:$B$100,2,0)),"")</f>
        <v/>
      </c>
      <c r="D62" s="35" t="n"/>
      <c r="E62" s="35" t="n"/>
      <c r="F62" s="35" t="n"/>
      <c r="G62" s="35" t="n"/>
      <c r="H62" s="35" t="n"/>
      <c r="I62" s="36">
        <f>IFERROR(IF(H62="","",H62*VLOOKUP(G62,FX_Rates.$A$6:$B$11,2,0)),0)</f>
        <v/>
      </c>
      <c r="J62" s="35" t="n"/>
      <c r="K62" s="35" t="n"/>
      <c r="L62" s="35" t="n"/>
      <c r="M62" s="35" t="n"/>
      <c r="N62" s="35" t="n"/>
      <c r="O62" s="35" t="n"/>
      <c r="P62" s="35" t="n"/>
    </row>
    <row r="63">
      <c r="A63" s="35" t="n"/>
      <c r="B63" s="35" t="n"/>
      <c r="C63" s="35">
        <f>IFERROR(IF(B63="","",VLOOKUP(B63,Vendor_Master.$A$4:$B$100,2,0)),"")</f>
        <v/>
      </c>
      <c r="D63" s="35" t="n"/>
      <c r="E63" s="35" t="n"/>
      <c r="F63" s="35" t="n"/>
      <c r="G63" s="35" t="n"/>
      <c r="H63" s="35" t="n"/>
      <c r="I63" s="36">
        <f>IFERROR(IF(H63="","",H63*VLOOKUP(G63,FX_Rates.$A$6:$B$11,2,0)),0)</f>
        <v/>
      </c>
      <c r="J63" s="35" t="n"/>
      <c r="K63" s="35" t="n"/>
      <c r="L63" s="35" t="n"/>
      <c r="M63" s="35" t="n"/>
      <c r="N63" s="35" t="n"/>
      <c r="O63" s="35" t="n"/>
      <c r="P63" s="35" t="n"/>
    </row>
    <row r="64">
      <c r="A64" s="35" t="n"/>
      <c r="B64" s="35" t="n"/>
      <c r="C64" s="35">
        <f>IFERROR(IF(B64="","",VLOOKUP(B64,Vendor_Master.$A$4:$B$100,2,0)),"")</f>
        <v/>
      </c>
      <c r="D64" s="35" t="n"/>
      <c r="E64" s="35" t="n"/>
      <c r="F64" s="35" t="n"/>
      <c r="G64" s="35" t="n"/>
      <c r="H64" s="35" t="n"/>
      <c r="I64" s="36">
        <f>IFERROR(IF(H64="","",H64*VLOOKUP(G64,FX_Rates.$A$6:$B$11,2,0)),0)</f>
        <v/>
      </c>
      <c r="J64" s="35" t="n"/>
      <c r="K64" s="35" t="n"/>
      <c r="L64" s="35" t="n"/>
      <c r="M64" s="35" t="n"/>
      <c r="N64" s="35" t="n"/>
      <c r="O64" s="35" t="n"/>
      <c r="P64" s="35" t="n"/>
    </row>
    <row r="65">
      <c r="A65" s="35" t="n"/>
      <c r="B65" s="35" t="n"/>
      <c r="C65" s="35">
        <f>IFERROR(IF(B65="","",VLOOKUP(B65,Vendor_Master.$A$4:$B$100,2,0)),"")</f>
        <v/>
      </c>
      <c r="D65" s="35" t="n"/>
      <c r="E65" s="35" t="n"/>
      <c r="F65" s="35" t="n"/>
      <c r="G65" s="35" t="n"/>
      <c r="H65" s="35" t="n"/>
      <c r="I65" s="36">
        <f>IFERROR(IF(H65="","",H65*VLOOKUP(G65,FX_Rates.$A$6:$B$11,2,0)),0)</f>
        <v/>
      </c>
      <c r="J65" s="35" t="n"/>
      <c r="K65" s="35" t="n"/>
      <c r="L65" s="35" t="n"/>
      <c r="M65" s="35" t="n"/>
      <c r="N65" s="35" t="n"/>
      <c r="O65" s="35" t="n"/>
      <c r="P65" s="35" t="n"/>
    </row>
    <row r="66">
      <c r="A66" s="35" t="n"/>
      <c r="B66" s="35" t="n"/>
      <c r="C66" s="35">
        <f>IFERROR(IF(B66="","",VLOOKUP(B66,Vendor_Master.$A$4:$B$100,2,0)),"")</f>
        <v/>
      </c>
      <c r="D66" s="35" t="n"/>
      <c r="E66" s="35" t="n"/>
      <c r="F66" s="35" t="n"/>
      <c r="G66" s="35" t="n"/>
      <c r="H66" s="35" t="n"/>
      <c r="I66" s="36">
        <f>IFERROR(IF(H66="","",H66*VLOOKUP(G66,FX_Rates.$A$6:$B$11,2,0)),0)</f>
        <v/>
      </c>
      <c r="J66" s="35" t="n"/>
      <c r="K66" s="35" t="n"/>
      <c r="L66" s="35" t="n"/>
      <c r="M66" s="35" t="n"/>
      <c r="N66" s="35" t="n"/>
      <c r="O66" s="35" t="n"/>
      <c r="P66" s="35" t="n"/>
    </row>
    <row r="67">
      <c r="A67" s="35" t="n"/>
      <c r="B67" s="35" t="n"/>
      <c r="C67" s="35">
        <f>IFERROR(IF(B67="","",VLOOKUP(B67,Vendor_Master.$A$4:$B$100,2,0)),"")</f>
        <v/>
      </c>
      <c r="D67" s="35" t="n"/>
      <c r="E67" s="35" t="n"/>
      <c r="F67" s="35" t="n"/>
      <c r="G67" s="35" t="n"/>
      <c r="H67" s="35" t="n"/>
      <c r="I67" s="36">
        <f>IFERROR(IF(H67="","",H67*VLOOKUP(G67,FX_Rates.$A$6:$B$11,2,0)),0)</f>
        <v/>
      </c>
      <c r="J67" s="35" t="n"/>
      <c r="K67" s="35" t="n"/>
      <c r="L67" s="35" t="n"/>
      <c r="M67" s="35" t="n"/>
      <c r="N67" s="35" t="n"/>
      <c r="O67" s="35" t="n"/>
      <c r="P67" s="35" t="n"/>
    </row>
    <row r="68">
      <c r="A68" s="35" t="n"/>
      <c r="B68" s="35" t="n"/>
      <c r="C68" s="35">
        <f>IFERROR(IF(B68="","",VLOOKUP(B68,Vendor_Master.$A$4:$B$100,2,0)),"")</f>
        <v/>
      </c>
      <c r="D68" s="35" t="n"/>
      <c r="E68" s="35" t="n"/>
      <c r="F68" s="35" t="n"/>
      <c r="G68" s="35" t="n"/>
      <c r="H68" s="35" t="n"/>
      <c r="I68" s="36">
        <f>IFERROR(IF(H68="","",H68*VLOOKUP(G68,FX_Rates.$A$6:$B$11,2,0)),0)</f>
        <v/>
      </c>
      <c r="J68" s="35" t="n"/>
      <c r="K68" s="35" t="n"/>
      <c r="L68" s="35" t="n"/>
      <c r="M68" s="35" t="n"/>
      <c r="N68" s="35" t="n"/>
      <c r="O68" s="35" t="n"/>
      <c r="P68" s="35" t="n"/>
    </row>
    <row r="69">
      <c r="A69" s="35" t="n"/>
      <c r="B69" s="35" t="n"/>
      <c r="C69" s="35">
        <f>IFERROR(IF(B69="","",VLOOKUP(B69,Vendor_Master.$A$4:$B$100,2,0)),"")</f>
        <v/>
      </c>
      <c r="D69" s="35" t="n"/>
      <c r="E69" s="35" t="n"/>
      <c r="F69" s="35" t="n"/>
      <c r="G69" s="35" t="n"/>
      <c r="H69" s="35" t="n"/>
      <c r="I69" s="36">
        <f>IFERROR(IF(H69="","",H69*VLOOKUP(G69,FX_Rates.$A$6:$B$11,2,0)),0)</f>
        <v/>
      </c>
      <c r="J69" s="35" t="n"/>
      <c r="K69" s="35" t="n"/>
      <c r="L69" s="35" t="n"/>
      <c r="M69" s="35" t="n"/>
      <c r="N69" s="35" t="n"/>
      <c r="O69" s="35" t="n"/>
      <c r="P69" s="35" t="n"/>
    </row>
    <row r="70">
      <c r="A70" s="35" t="n"/>
      <c r="B70" s="35" t="n"/>
      <c r="C70" s="35">
        <f>IFERROR(IF(B70="","",VLOOKUP(B70,Vendor_Master.$A$4:$B$100,2,0)),"")</f>
        <v/>
      </c>
      <c r="D70" s="35" t="n"/>
      <c r="E70" s="35" t="n"/>
      <c r="F70" s="35" t="n"/>
      <c r="G70" s="35" t="n"/>
      <c r="H70" s="35" t="n"/>
      <c r="I70" s="36">
        <f>IFERROR(IF(H70="","",H70*VLOOKUP(G70,FX_Rates.$A$6:$B$11,2,0)),0)</f>
        <v/>
      </c>
      <c r="J70" s="35" t="n"/>
      <c r="K70" s="35" t="n"/>
      <c r="L70" s="35" t="n"/>
      <c r="M70" s="35" t="n"/>
      <c r="N70" s="35" t="n"/>
      <c r="O70" s="35" t="n"/>
      <c r="P70" s="35" t="n"/>
    </row>
    <row r="71">
      <c r="A71" s="35" t="n"/>
      <c r="B71" s="35" t="n"/>
      <c r="C71" s="35">
        <f>IFERROR(IF(B71="","",VLOOKUP(B71,Vendor_Master.$A$4:$B$100,2,0)),"")</f>
        <v/>
      </c>
      <c r="D71" s="35" t="n"/>
      <c r="E71" s="35" t="n"/>
      <c r="F71" s="35" t="n"/>
      <c r="G71" s="35" t="n"/>
      <c r="H71" s="35" t="n"/>
      <c r="I71" s="36">
        <f>IFERROR(IF(H71="","",H71*VLOOKUP(G71,FX_Rates.$A$6:$B$11,2,0)),0)</f>
        <v/>
      </c>
      <c r="J71" s="35" t="n"/>
      <c r="K71" s="35" t="n"/>
      <c r="L71" s="35" t="n"/>
      <c r="M71" s="35" t="n"/>
      <c r="N71" s="35" t="n"/>
      <c r="O71" s="35" t="n"/>
      <c r="P71" s="35" t="n"/>
    </row>
    <row r="72">
      <c r="A72" s="35" t="n"/>
      <c r="B72" s="35" t="n"/>
      <c r="C72" s="35">
        <f>IFERROR(IF(B72="","",VLOOKUP(B72,Vendor_Master.$A$4:$B$100,2,0)),"")</f>
        <v/>
      </c>
      <c r="D72" s="35" t="n"/>
      <c r="E72" s="35" t="n"/>
      <c r="F72" s="35" t="n"/>
      <c r="G72" s="35" t="n"/>
      <c r="H72" s="35" t="n"/>
      <c r="I72" s="36">
        <f>IFERROR(IF(H72="","",H72*VLOOKUP(G72,FX_Rates.$A$6:$B$11,2,0)),0)</f>
        <v/>
      </c>
      <c r="J72" s="35" t="n"/>
      <c r="K72" s="35" t="n"/>
      <c r="L72" s="35" t="n"/>
      <c r="M72" s="35" t="n"/>
      <c r="N72" s="35" t="n"/>
      <c r="O72" s="35" t="n"/>
      <c r="P72" s="35" t="n"/>
    </row>
    <row r="73">
      <c r="A73" s="35" t="n"/>
      <c r="B73" s="35" t="n"/>
      <c r="C73" s="35">
        <f>IFERROR(IF(B73="","",VLOOKUP(B73,Vendor_Master.$A$4:$B$100,2,0)),"")</f>
        <v/>
      </c>
      <c r="D73" s="35" t="n"/>
      <c r="E73" s="35" t="n"/>
      <c r="F73" s="35" t="n"/>
      <c r="G73" s="35" t="n"/>
      <c r="H73" s="35" t="n"/>
      <c r="I73" s="36">
        <f>IFERROR(IF(H73="","",H73*VLOOKUP(G73,FX_Rates.$A$6:$B$11,2,0)),0)</f>
        <v/>
      </c>
      <c r="J73" s="35" t="n"/>
      <c r="K73" s="35" t="n"/>
      <c r="L73" s="35" t="n"/>
      <c r="M73" s="35" t="n"/>
      <c r="N73" s="35" t="n"/>
      <c r="O73" s="35" t="n"/>
      <c r="P73" s="35" t="n"/>
    </row>
    <row r="74">
      <c r="A74" s="35" t="n"/>
      <c r="B74" s="35" t="n"/>
      <c r="C74" s="35">
        <f>IFERROR(IF(B74="","",VLOOKUP(B74,Vendor_Master.$A$4:$B$100,2,0)),"")</f>
        <v/>
      </c>
      <c r="D74" s="35" t="n"/>
      <c r="E74" s="35" t="n"/>
      <c r="F74" s="35" t="n"/>
      <c r="G74" s="35" t="n"/>
      <c r="H74" s="35" t="n"/>
      <c r="I74" s="36">
        <f>IFERROR(IF(H74="","",H74*VLOOKUP(G74,FX_Rates.$A$6:$B$11,2,0)),0)</f>
        <v/>
      </c>
      <c r="J74" s="35" t="n"/>
      <c r="K74" s="35" t="n"/>
      <c r="L74" s="35" t="n"/>
      <c r="M74" s="35" t="n"/>
      <c r="N74" s="35" t="n"/>
      <c r="O74" s="35" t="n"/>
      <c r="P74" s="35" t="n"/>
    </row>
    <row r="75">
      <c r="A75" s="35" t="n"/>
      <c r="B75" s="35" t="n"/>
      <c r="C75" s="35">
        <f>IFERROR(IF(B75="","",VLOOKUP(B75,Vendor_Master.$A$4:$B$100,2,0)),"")</f>
        <v/>
      </c>
      <c r="D75" s="35" t="n"/>
      <c r="E75" s="35" t="n"/>
      <c r="F75" s="35" t="n"/>
      <c r="G75" s="35" t="n"/>
      <c r="H75" s="35" t="n"/>
      <c r="I75" s="36">
        <f>IFERROR(IF(H75="","",H75*VLOOKUP(G75,FX_Rates.$A$6:$B$11,2,0)),0)</f>
        <v/>
      </c>
      <c r="J75" s="35" t="n"/>
      <c r="K75" s="35" t="n"/>
      <c r="L75" s="35" t="n"/>
      <c r="M75" s="35" t="n"/>
      <c r="N75" s="35" t="n"/>
      <c r="O75" s="35" t="n"/>
      <c r="P75" s="35" t="n"/>
    </row>
    <row r="76">
      <c r="A76" s="35" t="n"/>
      <c r="B76" s="35" t="n"/>
      <c r="C76" s="35">
        <f>IFERROR(IF(B76="","",VLOOKUP(B76,Vendor_Master.$A$4:$B$100,2,0)),"")</f>
        <v/>
      </c>
      <c r="D76" s="35" t="n"/>
      <c r="E76" s="35" t="n"/>
      <c r="F76" s="35" t="n"/>
      <c r="G76" s="35" t="n"/>
      <c r="H76" s="35" t="n"/>
      <c r="I76" s="36">
        <f>IFERROR(IF(H76="","",H76*VLOOKUP(G76,FX_Rates.$A$6:$B$11,2,0)),0)</f>
        <v/>
      </c>
      <c r="J76" s="35" t="n"/>
      <c r="K76" s="35" t="n"/>
      <c r="L76" s="35" t="n"/>
      <c r="M76" s="35" t="n"/>
      <c r="N76" s="35" t="n"/>
      <c r="O76" s="35" t="n"/>
      <c r="P76" s="35" t="n"/>
    </row>
    <row r="77">
      <c r="A77" s="35" t="n"/>
      <c r="B77" s="35" t="n"/>
      <c r="C77" s="35">
        <f>IFERROR(IF(B77="","",VLOOKUP(B77,Vendor_Master.$A$4:$B$100,2,0)),"")</f>
        <v/>
      </c>
      <c r="D77" s="35" t="n"/>
      <c r="E77" s="35" t="n"/>
      <c r="F77" s="35" t="n"/>
      <c r="G77" s="35" t="n"/>
      <c r="H77" s="35" t="n"/>
      <c r="I77" s="36">
        <f>IFERROR(IF(H77="","",H77*VLOOKUP(G77,FX_Rates.$A$6:$B$11,2,0)),0)</f>
        <v/>
      </c>
      <c r="J77" s="35" t="n"/>
      <c r="K77" s="35" t="n"/>
      <c r="L77" s="35" t="n"/>
      <c r="M77" s="35" t="n"/>
      <c r="N77" s="35" t="n"/>
      <c r="O77" s="35" t="n"/>
      <c r="P77" s="35" t="n"/>
    </row>
    <row r="78">
      <c r="A78" s="35" t="n"/>
      <c r="B78" s="35" t="n"/>
      <c r="C78" s="35">
        <f>IFERROR(IF(B78="","",VLOOKUP(B78,Vendor_Master.$A$4:$B$100,2,0)),"")</f>
        <v/>
      </c>
      <c r="D78" s="35" t="n"/>
      <c r="E78" s="35" t="n"/>
      <c r="F78" s="35" t="n"/>
      <c r="G78" s="35" t="n"/>
      <c r="H78" s="35" t="n"/>
      <c r="I78" s="36">
        <f>IFERROR(IF(H78="","",H78*VLOOKUP(G78,FX_Rates.$A$6:$B$11,2,0)),0)</f>
        <v/>
      </c>
      <c r="J78" s="35" t="n"/>
      <c r="K78" s="35" t="n"/>
      <c r="L78" s="35" t="n"/>
      <c r="M78" s="35" t="n"/>
      <c r="N78" s="35" t="n"/>
      <c r="O78" s="35" t="n"/>
      <c r="P78" s="35" t="n"/>
    </row>
    <row r="79">
      <c r="A79" s="35" t="n"/>
      <c r="B79" s="35" t="n"/>
      <c r="C79" s="35">
        <f>IFERROR(IF(B79="","",VLOOKUP(B79,Vendor_Master.$A$4:$B$100,2,0)),"")</f>
        <v/>
      </c>
      <c r="D79" s="35" t="n"/>
      <c r="E79" s="35" t="n"/>
      <c r="F79" s="35" t="n"/>
      <c r="G79" s="35" t="n"/>
      <c r="H79" s="35" t="n"/>
      <c r="I79" s="36">
        <f>IFERROR(IF(H79="","",H79*VLOOKUP(G79,FX_Rates.$A$6:$B$11,2,0)),0)</f>
        <v/>
      </c>
      <c r="J79" s="35" t="n"/>
      <c r="K79" s="35" t="n"/>
      <c r="L79" s="35" t="n"/>
      <c r="M79" s="35" t="n"/>
      <c r="N79" s="35" t="n"/>
      <c r="O79" s="35" t="n"/>
      <c r="P79" s="35" t="n"/>
    </row>
    <row r="80">
      <c r="A80" s="35" t="n"/>
      <c r="B80" s="35" t="n"/>
      <c r="C80" s="35">
        <f>IFERROR(IF(B80="","",VLOOKUP(B80,Vendor_Master.$A$4:$B$100,2,0)),"")</f>
        <v/>
      </c>
      <c r="D80" s="35" t="n"/>
      <c r="E80" s="35" t="n"/>
      <c r="F80" s="35" t="n"/>
      <c r="G80" s="35" t="n"/>
      <c r="H80" s="35" t="n"/>
      <c r="I80" s="36">
        <f>IFERROR(IF(H80="","",H80*VLOOKUP(G80,FX_Rates.$A$6:$B$11,2,0)),0)</f>
        <v/>
      </c>
      <c r="J80" s="35" t="n"/>
      <c r="K80" s="35" t="n"/>
      <c r="L80" s="35" t="n"/>
      <c r="M80" s="35" t="n"/>
      <c r="N80" s="35" t="n"/>
      <c r="O80" s="35" t="n"/>
      <c r="P80" s="35" t="n"/>
    </row>
  </sheetData>
  <mergeCells count="2">
    <mergeCell ref="A1:L1"/>
    <mergeCell ref="A3:P3"/>
  </mergeCells>
  <dataValidations count="3">
    <dataValidation sqref="L6:L500" showDropDown="0" showInputMessage="0" showErrorMessage="0" allowBlank="1" errorTitle="Invalid Status" error="Please select a valid status" type="list">
      <formula1>"PAID,PENDING,SCHEDULED,POSTPONED,OVERDUE,CANCELLED"</formula1>
    </dataValidation>
    <dataValidation sqref="G6:G500" showDropDown="0" showInputMessage="0" showErrorMessage="0" allowBlank="1" errorTitle="Invalid Currency" error="Please select a valid currency" type="list">
      <formula1>"SAR,USD,AED,EUR,GBP,SGD"</formula1>
    </dataValidation>
    <dataValidation sqref="O6:O500" showDropDown="0" showInputMessage="0" showErrorMessage="0" allowBlank="1" errorTitle="Invalid Priority" error="Priority must be 1-5" type="list">
      <formula1>"1,2,3,4,5"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1" ht="35" customHeight="1">
      <c r="A1" s="1" t="inlineStr">
        <is>
          <t>TREASURY CALENDAR</t>
        </is>
      </c>
    </row>
    <row r="2">
      <c r="A2" s="51" t="inlineStr">
        <is>
          <t>YEAR</t>
        </is>
      </c>
      <c r="B2" s="52" t="n"/>
      <c r="C2" s="53" t="n"/>
      <c r="D2" s="54" t="n">
        <v>2024</v>
      </c>
      <c r="E2" s="54" t="n">
        <v>2024</v>
      </c>
      <c r="F2" s="54" t="n">
        <v>2024</v>
      </c>
      <c r="G2" s="54" t="n">
        <v>2024</v>
      </c>
      <c r="H2" s="54" t="n">
        <v>2024</v>
      </c>
      <c r="I2" s="54" t="n">
        <v>2024</v>
      </c>
      <c r="J2" s="54" t="n">
        <v>2024</v>
      </c>
      <c r="K2" s="54" t="n">
        <v>2024</v>
      </c>
      <c r="L2" s="54" t="n">
        <v>2024</v>
      </c>
      <c r="M2" s="54" t="n">
        <v>2024</v>
      </c>
      <c r="N2" s="54" t="n">
        <v>2024</v>
      </c>
      <c r="O2" s="54" t="n">
        <v>2024</v>
      </c>
      <c r="P2" s="54" t="n">
        <v>2024</v>
      </c>
      <c r="Q2" s="54" t="n">
        <v>2024</v>
      </c>
      <c r="R2" s="54" t="n">
        <v>2024</v>
      </c>
      <c r="S2" s="54" t="n">
        <v>2024</v>
      </c>
      <c r="T2" s="54" t="n">
        <v>2024</v>
      </c>
      <c r="U2" s="54" t="n">
        <v>2024</v>
      </c>
      <c r="V2" s="54" t="n">
        <v>2024</v>
      </c>
      <c r="W2" s="54" t="n">
        <v>2024</v>
      </c>
      <c r="X2" s="54" t="n">
        <v>2024</v>
      </c>
      <c r="Y2" s="54" t="n">
        <v>2024</v>
      </c>
      <c r="Z2" s="54" t="n">
        <v>2024</v>
      </c>
      <c r="AA2" s="54" t="n">
        <v>2024</v>
      </c>
      <c r="AB2" s="54" t="n">
        <v>2024</v>
      </c>
      <c r="AC2" s="54" t="n">
        <v>2024</v>
      </c>
      <c r="AD2" s="54" t="n">
        <v>2024</v>
      </c>
      <c r="AE2" s="54" t="n">
        <v>2024</v>
      </c>
      <c r="AF2" s="54" t="n">
        <v>2024</v>
      </c>
      <c r="AG2" s="54" t="n">
        <v>2024</v>
      </c>
      <c r="AH2" s="54" t="n">
        <v>2024</v>
      </c>
      <c r="AI2" s="54" t="n">
        <v>2025</v>
      </c>
      <c r="AJ2" s="54" t="n">
        <v>2025</v>
      </c>
      <c r="AK2" s="54" t="n">
        <v>2025</v>
      </c>
      <c r="AL2" s="54" t="n">
        <v>2025</v>
      </c>
      <c r="AM2" s="54" t="n">
        <v>2025</v>
      </c>
      <c r="AN2" s="54" t="n">
        <v>2025</v>
      </c>
      <c r="AO2" s="54" t="n">
        <v>2025</v>
      </c>
      <c r="AP2" s="54" t="n">
        <v>2025</v>
      </c>
      <c r="AQ2" s="54" t="n">
        <v>2025</v>
      </c>
      <c r="AR2" s="54" t="n">
        <v>2025</v>
      </c>
      <c r="AS2" s="54" t="n">
        <v>2025</v>
      </c>
      <c r="AT2" s="54" t="n">
        <v>2025</v>
      </c>
      <c r="AU2" s="54" t="n">
        <v>2025</v>
      </c>
      <c r="AV2" s="54" t="n">
        <v>2025</v>
      </c>
      <c r="AW2" s="54" t="n">
        <v>2025</v>
      </c>
      <c r="AX2" s="54" t="n">
        <v>2025</v>
      </c>
      <c r="AY2" s="54" t="n">
        <v>2025</v>
      </c>
      <c r="AZ2" s="54" t="n">
        <v>2025</v>
      </c>
      <c r="BA2" s="54" t="n">
        <v>2025</v>
      </c>
      <c r="BB2" s="54" t="n">
        <v>2025</v>
      </c>
      <c r="BC2" s="54" t="n">
        <v>2025</v>
      </c>
      <c r="BD2" s="54" t="n">
        <v>2025</v>
      </c>
      <c r="BE2" s="54" t="n">
        <v>2025</v>
      </c>
      <c r="BF2" s="54" t="n">
        <v>2025</v>
      </c>
      <c r="BG2" s="54" t="n">
        <v>2025</v>
      </c>
      <c r="BH2" s="54" t="n">
        <v>2025</v>
      </c>
      <c r="BI2" s="54" t="n">
        <v>2025</v>
      </c>
      <c r="BJ2" s="54" t="n">
        <v>2025</v>
      </c>
      <c r="BK2" s="54" t="n">
        <v>2025</v>
      </c>
    </row>
    <row r="3">
      <c r="A3" s="51" t="inlineStr">
        <is>
          <t>MONTH</t>
        </is>
      </c>
      <c r="B3" s="52" t="n"/>
      <c r="C3" s="53" t="n"/>
      <c r="D3" s="55" t="inlineStr">
        <is>
          <t>Dec</t>
        </is>
      </c>
      <c r="E3" s="55" t="inlineStr">
        <is>
          <t>Dec</t>
        </is>
      </c>
      <c r="F3" s="55" t="inlineStr">
        <is>
          <t>Dec</t>
        </is>
      </c>
      <c r="G3" s="55" t="inlineStr">
        <is>
          <t>Dec</t>
        </is>
      </c>
      <c r="H3" s="55" t="inlineStr">
        <is>
          <t>Dec</t>
        </is>
      </c>
      <c r="I3" s="55" t="inlineStr">
        <is>
          <t>Dec</t>
        </is>
      </c>
      <c r="J3" s="55" t="inlineStr">
        <is>
          <t>Dec</t>
        </is>
      </c>
      <c r="K3" s="55" t="inlineStr">
        <is>
          <t>Dec</t>
        </is>
      </c>
      <c r="L3" s="55" t="inlineStr">
        <is>
          <t>Dec</t>
        </is>
      </c>
      <c r="M3" s="55" t="inlineStr">
        <is>
          <t>Dec</t>
        </is>
      </c>
      <c r="N3" s="55" t="inlineStr">
        <is>
          <t>Dec</t>
        </is>
      </c>
      <c r="O3" s="55" t="inlineStr">
        <is>
          <t>Dec</t>
        </is>
      </c>
      <c r="P3" s="55" t="inlineStr">
        <is>
          <t>Dec</t>
        </is>
      </c>
      <c r="Q3" s="55" t="inlineStr">
        <is>
          <t>Dec</t>
        </is>
      </c>
      <c r="R3" s="55" t="inlineStr">
        <is>
          <t>Dec</t>
        </is>
      </c>
      <c r="S3" s="55" t="inlineStr">
        <is>
          <t>Dec</t>
        </is>
      </c>
      <c r="T3" s="55" t="inlineStr">
        <is>
          <t>Dec</t>
        </is>
      </c>
      <c r="U3" s="55" t="inlineStr">
        <is>
          <t>Dec</t>
        </is>
      </c>
      <c r="V3" s="55" t="inlineStr">
        <is>
          <t>Dec</t>
        </is>
      </c>
      <c r="W3" s="55" t="inlineStr">
        <is>
          <t>Dec</t>
        </is>
      </c>
      <c r="X3" s="55" t="inlineStr">
        <is>
          <t>Dec</t>
        </is>
      </c>
      <c r="Y3" s="55" t="inlineStr">
        <is>
          <t>Dec</t>
        </is>
      </c>
      <c r="Z3" s="55" t="inlineStr">
        <is>
          <t>Dec</t>
        </is>
      </c>
      <c r="AA3" s="55" t="inlineStr">
        <is>
          <t>Dec</t>
        </is>
      </c>
      <c r="AB3" s="55" t="inlineStr">
        <is>
          <t>Dec</t>
        </is>
      </c>
      <c r="AC3" s="55" t="inlineStr">
        <is>
          <t>Dec</t>
        </is>
      </c>
      <c r="AD3" s="55" t="inlineStr">
        <is>
          <t>Dec</t>
        </is>
      </c>
      <c r="AE3" s="55" t="inlineStr">
        <is>
          <t>Dec</t>
        </is>
      </c>
      <c r="AF3" s="55" t="inlineStr">
        <is>
          <t>Dec</t>
        </is>
      </c>
      <c r="AG3" s="55" t="inlineStr">
        <is>
          <t>Dec</t>
        </is>
      </c>
      <c r="AH3" s="55" t="inlineStr">
        <is>
          <t>Dec</t>
        </is>
      </c>
      <c r="AI3" s="55" t="inlineStr">
        <is>
          <t>Jan</t>
        </is>
      </c>
      <c r="AJ3" s="55" t="inlineStr">
        <is>
          <t>Jan</t>
        </is>
      </c>
      <c r="AK3" s="55" t="inlineStr">
        <is>
          <t>Jan</t>
        </is>
      </c>
      <c r="AL3" s="55" t="inlineStr">
        <is>
          <t>Jan</t>
        </is>
      </c>
      <c r="AM3" s="55" t="inlineStr">
        <is>
          <t>Jan</t>
        </is>
      </c>
      <c r="AN3" s="55" t="inlineStr">
        <is>
          <t>Jan</t>
        </is>
      </c>
      <c r="AO3" s="55" t="inlineStr">
        <is>
          <t>Jan</t>
        </is>
      </c>
      <c r="AP3" s="55" t="inlineStr">
        <is>
          <t>Jan</t>
        </is>
      </c>
      <c r="AQ3" s="55" t="inlineStr">
        <is>
          <t>Jan</t>
        </is>
      </c>
      <c r="AR3" s="55" t="inlineStr">
        <is>
          <t>Jan</t>
        </is>
      </c>
      <c r="AS3" s="55" t="inlineStr">
        <is>
          <t>Jan</t>
        </is>
      </c>
      <c r="AT3" s="55" t="inlineStr">
        <is>
          <t>Jan</t>
        </is>
      </c>
      <c r="AU3" s="55" t="inlineStr">
        <is>
          <t>Jan</t>
        </is>
      </c>
      <c r="AV3" s="55" t="inlineStr">
        <is>
          <t>Jan</t>
        </is>
      </c>
      <c r="AW3" s="55" t="inlineStr">
        <is>
          <t>Jan</t>
        </is>
      </c>
      <c r="AX3" s="55" t="inlineStr">
        <is>
          <t>Jan</t>
        </is>
      </c>
      <c r="AY3" s="55" t="inlineStr">
        <is>
          <t>Jan</t>
        </is>
      </c>
      <c r="AZ3" s="55" t="inlineStr">
        <is>
          <t>Jan</t>
        </is>
      </c>
      <c r="BA3" s="55" t="inlineStr">
        <is>
          <t>Jan</t>
        </is>
      </c>
      <c r="BB3" s="55" t="inlineStr">
        <is>
          <t>Jan</t>
        </is>
      </c>
      <c r="BC3" s="55" t="inlineStr">
        <is>
          <t>Jan</t>
        </is>
      </c>
      <c r="BD3" s="55" t="inlineStr">
        <is>
          <t>Jan</t>
        </is>
      </c>
      <c r="BE3" s="55" t="inlineStr">
        <is>
          <t>Jan</t>
        </is>
      </c>
      <c r="BF3" s="55" t="inlineStr">
        <is>
          <t>Jan</t>
        </is>
      </c>
      <c r="BG3" s="55" t="inlineStr">
        <is>
          <t>Jan</t>
        </is>
      </c>
      <c r="BH3" s="55" t="inlineStr">
        <is>
          <t>Jan</t>
        </is>
      </c>
      <c r="BI3" s="55" t="inlineStr">
        <is>
          <t>Jan</t>
        </is>
      </c>
      <c r="BJ3" s="55" t="inlineStr">
        <is>
          <t>Jan</t>
        </is>
      </c>
      <c r="BK3" s="55" t="inlineStr">
        <is>
          <t>Jan</t>
        </is>
      </c>
    </row>
    <row r="4">
      <c r="A4" s="51" t="inlineStr">
        <is>
          <t>WEEK #</t>
        </is>
      </c>
      <c r="B4" s="52" t="n"/>
      <c r="C4" s="53" t="n"/>
      <c r="D4" s="56" t="n">
        <v>48</v>
      </c>
      <c r="E4" s="56" t="n">
        <v>49</v>
      </c>
      <c r="F4" s="56" t="n">
        <v>49</v>
      </c>
      <c r="G4" s="56" t="n">
        <v>49</v>
      </c>
      <c r="H4" s="56" t="n">
        <v>49</v>
      </c>
      <c r="I4" s="56" t="n">
        <v>49</v>
      </c>
      <c r="J4" s="56" t="n">
        <v>49</v>
      </c>
      <c r="K4" s="56" t="n">
        <v>49</v>
      </c>
      <c r="L4" s="56" t="n">
        <v>50</v>
      </c>
      <c r="M4" s="56" t="n">
        <v>50</v>
      </c>
      <c r="N4" s="56" t="n">
        <v>50</v>
      </c>
      <c r="O4" s="56" t="n">
        <v>50</v>
      </c>
      <c r="P4" s="56" t="n">
        <v>50</v>
      </c>
      <c r="Q4" s="56" t="n">
        <v>50</v>
      </c>
      <c r="R4" s="56" t="n">
        <v>50</v>
      </c>
      <c r="S4" s="56" t="n">
        <v>51</v>
      </c>
      <c r="T4" s="56" t="n">
        <v>51</v>
      </c>
      <c r="U4" s="56" t="n">
        <v>51</v>
      </c>
      <c r="V4" s="56" t="n">
        <v>51</v>
      </c>
      <c r="W4" s="56" t="n">
        <v>51</v>
      </c>
      <c r="X4" s="56" t="n">
        <v>51</v>
      </c>
      <c r="Y4" s="56" t="n">
        <v>51</v>
      </c>
      <c r="Z4" s="56" t="n">
        <v>52</v>
      </c>
      <c r="AA4" s="56" t="n">
        <v>52</v>
      </c>
      <c r="AB4" s="56" t="n">
        <v>52</v>
      </c>
      <c r="AC4" s="56" t="n">
        <v>52</v>
      </c>
      <c r="AD4" s="56" t="n">
        <v>52</v>
      </c>
      <c r="AE4" s="56" t="n">
        <v>52</v>
      </c>
      <c r="AF4" s="56" t="n">
        <v>52</v>
      </c>
      <c r="AG4" s="56" t="n">
        <v>1</v>
      </c>
      <c r="AH4" s="56" t="n">
        <v>1</v>
      </c>
      <c r="AI4" s="56" t="n">
        <v>1</v>
      </c>
      <c r="AJ4" s="56" t="n">
        <v>1</v>
      </c>
      <c r="AK4" s="56" t="n">
        <v>1</v>
      </c>
      <c r="AL4" s="56" t="n">
        <v>1</v>
      </c>
      <c r="AM4" s="56" t="n">
        <v>1</v>
      </c>
      <c r="AN4" s="56" t="n">
        <v>2</v>
      </c>
      <c r="AO4" s="56" t="n">
        <v>2</v>
      </c>
      <c r="AP4" s="56" t="n">
        <v>2</v>
      </c>
      <c r="AQ4" s="56" t="n">
        <v>2</v>
      </c>
      <c r="AR4" s="56" t="n">
        <v>2</v>
      </c>
      <c r="AS4" s="56" t="n">
        <v>2</v>
      </c>
      <c r="AT4" s="56" t="n">
        <v>2</v>
      </c>
      <c r="AU4" s="56" t="n">
        <v>3</v>
      </c>
      <c r="AV4" s="56" t="n">
        <v>3</v>
      </c>
      <c r="AW4" s="56" t="n">
        <v>3</v>
      </c>
      <c r="AX4" s="56" t="n">
        <v>3</v>
      </c>
      <c r="AY4" s="56" t="n">
        <v>3</v>
      </c>
      <c r="AZ4" s="56" t="n">
        <v>3</v>
      </c>
      <c r="BA4" s="56" t="n">
        <v>3</v>
      </c>
      <c r="BB4" s="56" t="n">
        <v>4</v>
      </c>
      <c r="BC4" s="56" t="n">
        <v>4</v>
      </c>
      <c r="BD4" s="56" t="n">
        <v>4</v>
      </c>
      <c r="BE4" s="56" t="n">
        <v>4</v>
      </c>
      <c r="BF4" s="56" t="n">
        <v>4</v>
      </c>
      <c r="BG4" s="56" t="n">
        <v>4</v>
      </c>
      <c r="BH4" s="56" t="n">
        <v>4</v>
      </c>
      <c r="BI4" s="56" t="n">
        <v>5</v>
      </c>
      <c r="BJ4" s="56" t="n">
        <v>5</v>
      </c>
      <c r="BK4" s="56" t="n">
        <v>5</v>
      </c>
    </row>
    <row r="5">
      <c r="A5" s="51" t="inlineStr">
        <is>
          <t>DAY</t>
        </is>
      </c>
      <c r="B5" s="52" t="n"/>
      <c r="C5" s="53" t="n"/>
      <c r="D5" s="7" t="n">
        <v>1</v>
      </c>
      <c r="E5" s="7" t="n">
        <v>2</v>
      </c>
      <c r="F5" s="7" t="n">
        <v>3</v>
      </c>
      <c r="G5" s="7" t="n">
        <v>4</v>
      </c>
      <c r="H5" s="7" t="n">
        <v>5</v>
      </c>
      <c r="I5" s="57" t="n">
        <v>6</v>
      </c>
      <c r="J5" s="58" t="n">
        <v>7</v>
      </c>
      <c r="K5" s="7" t="n">
        <v>8</v>
      </c>
      <c r="L5" s="7" t="n">
        <v>9</v>
      </c>
      <c r="M5" s="7" t="n">
        <v>10</v>
      </c>
      <c r="N5" s="7" t="n">
        <v>11</v>
      </c>
      <c r="O5" s="7" t="n">
        <v>12</v>
      </c>
      <c r="P5" s="57" t="n">
        <v>13</v>
      </c>
      <c r="Q5" s="58" t="n">
        <v>14</v>
      </c>
      <c r="R5" s="7" t="n">
        <v>15</v>
      </c>
      <c r="S5" s="7" t="n">
        <v>16</v>
      </c>
      <c r="T5" s="7" t="n">
        <v>17</v>
      </c>
      <c r="U5" s="7" t="n">
        <v>18</v>
      </c>
      <c r="V5" s="7" t="n">
        <v>19</v>
      </c>
      <c r="W5" s="57" t="n">
        <v>20</v>
      </c>
      <c r="X5" s="58" t="n">
        <v>21</v>
      </c>
      <c r="Y5" s="7" t="n">
        <v>22</v>
      </c>
      <c r="Z5" s="7" t="n">
        <v>23</v>
      </c>
      <c r="AA5" s="7" t="n">
        <v>24</v>
      </c>
      <c r="AB5" s="7" t="n">
        <v>25</v>
      </c>
      <c r="AC5" s="7" t="n">
        <v>26</v>
      </c>
      <c r="AD5" s="57" t="n">
        <v>27</v>
      </c>
      <c r="AE5" s="58" t="n">
        <v>28</v>
      </c>
      <c r="AF5" s="7" t="n">
        <v>29</v>
      </c>
      <c r="AG5" s="7" t="n">
        <v>30</v>
      </c>
      <c r="AH5" s="7" t="n">
        <v>31</v>
      </c>
      <c r="AI5" s="7" t="n">
        <v>1</v>
      </c>
      <c r="AJ5" s="7" t="n">
        <v>2</v>
      </c>
      <c r="AK5" s="57" t="n">
        <v>3</v>
      </c>
      <c r="AL5" s="58" t="n">
        <v>4</v>
      </c>
      <c r="AM5" s="7" t="n">
        <v>5</v>
      </c>
      <c r="AN5" s="7" t="n">
        <v>6</v>
      </c>
      <c r="AO5" s="7" t="n">
        <v>7</v>
      </c>
      <c r="AP5" s="7" t="n">
        <v>8</v>
      </c>
      <c r="AQ5" s="7" t="n">
        <v>9</v>
      </c>
      <c r="AR5" s="57" t="n">
        <v>10</v>
      </c>
      <c r="AS5" s="58" t="n">
        <v>11</v>
      </c>
      <c r="AT5" s="7" t="n">
        <v>12</v>
      </c>
      <c r="AU5" s="7" t="n">
        <v>13</v>
      </c>
      <c r="AV5" s="7" t="n">
        <v>14</v>
      </c>
      <c r="AW5" s="7" t="n">
        <v>15</v>
      </c>
      <c r="AX5" s="7" t="n">
        <v>16</v>
      </c>
      <c r="AY5" s="57" t="n">
        <v>17</v>
      </c>
      <c r="AZ5" s="58" t="n">
        <v>18</v>
      </c>
      <c r="BA5" s="7" t="n">
        <v>19</v>
      </c>
      <c r="BB5" s="7" t="n">
        <v>20</v>
      </c>
      <c r="BC5" s="7" t="n">
        <v>21</v>
      </c>
      <c r="BD5" s="7" t="n">
        <v>22</v>
      </c>
      <c r="BE5" s="7" t="n">
        <v>23</v>
      </c>
      <c r="BF5" s="57" t="n">
        <v>24</v>
      </c>
      <c r="BG5" s="58" t="n">
        <v>25</v>
      </c>
      <c r="BH5" s="7" t="n">
        <v>26</v>
      </c>
      <c r="BI5" s="7" t="n">
        <v>27</v>
      </c>
      <c r="BJ5" s="7" t="n">
        <v>28</v>
      </c>
      <c r="BK5" s="7" t="n">
        <v>29</v>
      </c>
    </row>
    <row r="6">
      <c r="A6" s="51" t="inlineStr">
        <is>
          <t>DATE</t>
        </is>
      </c>
      <c r="B6" s="52" t="n"/>
      <c r="C6" s="53" t="n"/>
      <c r="D6" s="91" t="n">
        <v>45627</v>
      </c>
      <c r="E6" s="91" t="n">
        <v>45628</v>
      </c>
      <c r="F6" s="91" t="n">
        <v>45629</v>
      </c>
      <c r="G6" s="91" t="n">
        <v>45630</v>
      </c>
      <c r="H6" s="91" t="n">
        <v>45631</v>
      </c>
      <c r="I6" s="92" t="n">
        <v>45632</v>
      </c>
      <c r="J6" s="93" t="n">
        <v>45633</v>
      </c>
      <c r="K6" s="91" t="n">
        <v>45634</v>
      </c>
      <c r="L6" s="91" t="n">
        <v>45635</v>
      </c>
      <c r="M6" s="91" t="n">
        <v>45636</v>
      </c>
      <c r="N6" s="91" t="n">
        <v>45637</v>
      </c>
      <c r="O6" s="91" t="n">
        <v>45638</v>
      </c>
      <c r="P6" s="92" t="n">
        <v>45639</v>
      </c>
      <c r="Q6" s="93" t="n">
        <v>45640</v>
      </c>
      <c r="R6" s="91" t="n">
        <v>45641</v>
      </c>
      <c r="S6" s="91" t="n">
        <v>45642</v>
      </c>
      <c r="T6" s="91" t="n">
        <v>45643</v>
      </c>
      <c r="U6" s="91" t="n">
        <v>45644</v>
      </c>
      <c r="V6" s="91" t="n">
        <v>45645</v>
      </c>
      <c r="W6" s="92" t="n">
        <v>45646</v>
      </c>
      <c r="X6" s="93" t="n">
        <v>45647</v>
      </c>
      <c r="Y6" s="91" t="n">
        <v>45648</v>
      </c>
      <c r="Z6" s="91" t="n">
        <v>45649</v>
      </c>
      <c r="AA6" s="91" t="n">
        <v>45650</v>
      </c>
      <c r="AB6" s="91" t="n">
        <v>45651</v>
      </c>
      <c r="AC6" s="91" t="n">
        <v>45652</v>
      </c>
      <c r="AD6" s="92" t="n">
        <v>45653</v>
      </c>
      <c r="AE6" s="93" t="n">
        <v>45654</v>
      </c>
      <c r="AF6" s="91" t="n">
        <v>45655</v>
      </c>
      <c r="AG6" s="91" t="n">
        <v>45656</v>
      </c>
      <c r="AH6" s="91" t="n">
        <v>45657</v>
      </c>
      <c r="AI6" s="91" t="n">
        <v>45658</v>
      </c>
      <c r="AJ6" s="91" t="n">
        <v>45659</v>
      </c>
      <c r="AK6" s="92" t="n">
        <v>45660</v>
      </c>
      <c r="AL6" s="93" t="n">
        <v>45661</v>
      </c>
      <c r="AM6" s="91" t="n">
        <v>45662</v>
      </c>
      <c r="AN6" s="91" t="n">
        <v>45663</v>
      </c>
      <c r="AO6" s="91" t="n">
        <v>45664</v>
      </c>
      <c r="AP6" s="91" t="n">
        <v>45665</v>
      </c>
      <c r="AQ6" s="91" t="n">
        <v>45666</v>
      </c>
      <c r="AR6" s="92" t="n">
        <v>45667</v>
      </c>
      <c r="AS6" s="93" t="n">
        <v>45668</v>
      </c>
      <c r="AT6" s="91" t="n">
        <v>45669</v>
      </c>
      <c r="AU6" s="91" t="n">
        <v>45670</v>
      </c>
      <c r="AV6" s="91" t="n">
        <v>45671</v>
      </c>
      <c r="AW6" s="91" t="n">
        <v>45672</v>
      </c>
      <c r="AX6" s="91" t="n">
        <v>45673</v>
      </c>
      <c r="AY6" s="92" t="n">
        <v>45674</v>
      </c>
      <c r="AZ6" s="93" t="n">
        <v>45675</v>
      </c>
      <c r="BA6" s="91" t="n">
        <v>45676</v>
      </c>
      <c r="BB6" s="91" t="n">
        <v>45677</v>
      </c>
      <c r="BC6" s="91" t="n">
        <v>45678</v>
      </c>
      <c r="BD6" s="91" t="n">
        <v>45679</v>
      </c>
      <c r="BE6" s="91" t="n">
        <v>45680</v>
      </c>
      <c r="BF6" s="92" t="n">
        <v>45681</v>
      </c>
      <c r="BG6" s="93" t="n">
        <v>45682</v>
      </c>
      <c r="BH6" s="91" t="n">
        <v>45683</v>
      </c>
      <c r="BI6" s="91" t="n">
        <v>45684</v>
      </c>
      <c r="BJ6" s="91" t="n">
        <v>45685</v>
      </c>
      <c r="BK6" s="91" t="n">
        <v>45686</v>
      </c>
    </row>
    <row r="7">
      <c r="A7" s="51" t="inlineStr">
        <is>
          <t>WEEKDAY</t>
        </is>
      </c>
      <c r="B7" s="52" t="n"/>
      <c r="C7" s="53" t="n"/>
      <c r="D7" s="62" t="inlineStr">
        <is>
          <t>Sun</t>
        </is>
      </c>
      <c r="E7" s="62" t="inlineStr">
        <is>
          <t>Mon</t>
        </is>
      </c>
      <c r="F7" s="62" t="inlineStr">
        <is>
          <t>Tue</t>
        </is>
      </c>
      <c r="G7" s="62" t="inlineStr">
        <is>
          <t>Wed</t>
        </is>
      </c>
      <c r="H7" s="62" t="inlineStr">
        <is>
          <t>Thu</t>
        </is>
      </c>
      <c r="I7" s="63" t="inlineStr">
        <is>
          <t>Fri</t>
        </is>
      </c>
      <c r="J7" s="64" t="inlineStr">
        <is>
          <t>Sat</t>
        </is>
      </c>
      <c r="K7" s="62" t="inlineStr">
        <is>
          <t>Sun</t>
        </is>
      </c>
      <c r="L7" s="62" t="inlineStr">
        <is>
          <t>Mon</t>
        </is>
      </c>
      <c r="M7" s="62" t="inlineStr">
        <is>
          <t>Tue</t>
        </is>
      </c>
      <c r="N7" s="62" t="inlineStr">
        <is>
          <t>Wed</t>
        </is>
      </c>
      <c r="O7" s="62" t="inlineStr">
        <is>
          <t>Thu</t>
        </is>
      </c>
      <c r="P7" s="63" t="inlineStr">
        <is>
          <t>Fri</t>
        </is>
      </c>
      <c r="Q7" s="64" t="inlineStr">
        <is>
          <t>Sat</t>
        </is>
      </c>
      <c r="R7" s="62" t="inlineStr">
        <is>
          <t>Sun</t>
        </is>
      </c>
      <c r="S7" s="62" t="inlineStr">
        <is>
          <t>Mon</t>
        </is>
      </c>
      <c r="T7" s="62" t="inlineStr">
        <is>
          <t>Tue</t>
        </is>
      </c>
      <c r="U7" s="62" t="inlineStr">
        <is>
          <t>Wed</t>
        </is>
      </c>
      <c r="V7" s="62" t="inlineStr">
        <is>
          <t>Thu</t>
        </is>
      </c>
      <c r="W7" s="63" t="inlineStr">
        <is>
          <t>Fri</t>
        </is>
      </c>
      <c r="X7" s="64" t="inlineStr">
        <is>
          <t>Sat</t>
        </is>
      </c>
      <c r="Y7" s="62" t="inlineStr">
        <is>
          <t>Sun</t>
        </is>
      </c>
      <c r="Z7" s="62" t="inlineStr">
        <is>
          <t>Mon</t>
        </is>
      </c>
      <c r="AA7" s="62" t="inlineStr">
        <is>
          <t>Tue</t>
        </is>
      </c>
      <c r="AB7" s="62" t="inlineStr">
        <is>
          <t>Wed</t>
        </is>
      </c>
      <c r="AC7" s="62" t="inlineStr">
        <is>
          <t>Thu</t>
        </is>
      </c>
      <c r="AD7" s="63" t="inlineStr">
        <is>
          <t>Fri</t>
        </is>
      </c>
      <c r="AE7" s="64" t="inlineStr">
        <is>
          <t>Sat</t>
        </is>
      </c>
      <c r="AF7" s="62" t="inlineStr">
        <is>
          <t>Sun</t>
        </is>
      </c>
      <c r="AG7" s="62" t="inlineStr">
        <is>
          <t>Mon</t>
        </is>
      </c>
      <c r="AH7" s="62" t="inlineStr">
        <is>
          <t>Tue</t>
        </is>
      </c>
      <c r="AI7" s="62" t="inlineStr">
        <is>
          <t>Wed</t>
        </is>
      </c>
      <c r="AJ7" s="62" t="inlineStr">
        <is>
          <t>Thu</t>
        </is>
      </c>
      <c r="AK7" s="63" t="inlineStr">
        <is>
          <t>Fri</t>
        </is>
      </c>
      <c r="AL7" s="64" t="inlineStr">
        <is>
          <t>Sat</t>
        </is>
      </c>
      <c r="AM7" s="62" t="inlineStr">
        <is>
          <t>Sun</t>
        </is>
      </c>
      <c r="AN7" s="62" t="inlineStr">
        <is>
          <t>Mon</t>
        </is>
      </c>
      <c r="AO7" s="62" t="inlineStr">
        <is>
          <t>Tue</t>
        </is>
      </c>
      <c r="AP7" s="62" t="inlineStr">
        <is>
          <t>Wed</t>
        </is>
      </c>
      <c r="AQ7" s="62" t="inlineStr">
        <is>
          <t>Thu</t>
        </is>
      </c>
      <c r="AR7" s="63" t="inlineStr">
        <is>
          <t>Fri</t>
        </is>
      </c>
      <c r="AS7" s="64" t="inlineStr">
        <is>
          <t>Sat</t>
        </is>
      </c>
      <c r="AT7" s="62" t="inlineStr">
        <is>
          <t>Sun</t>
        </is>
      </c>
      <c r="AU7" s="62" t="inlineStr">
        <is>
          <t>Mon</t>
        </is>
      </c>
      <c r="AV7" s="62" t="inlineStr">
        <is>
          <t>Tue</t>
        </is>
      </c>
      <c r="AW7" s="62" t="inlineStr">
        <is>
          <t>Wed</t>
        </is>
      </c>
      <c r="AX7" s="62" t="inlineStr">
        <is>
          <t>Thu</t>
        </is>
      </c>
      <c r="AY7" s="63" t="inlineStr">
        <is>
          <t>Fri</t>
        </is>
      </c>
      <c r="AZ7" s="64" t="inlineStr">
        <is>
          <t>Sat</t>
        </is>
      </c>
      <c r="BA7" s="62" t="inlineStr">
        <is>
          <t>Sun</t>
        </is>
      </c>
      <c r="BB7" s="62" t="inlineStr">
        <is>
          <t>Mon</t>
        </is>
      </c>
      <c r="BC7" s="62" t="inlineStr">
        <is>
          <t>Tue</t>
        </is>
      </c>
      <c r="BD7" s="62" t="inlineStr">
        <is>
          <t>Wed</t>
        </is>
      </c>
      <c r="BE7" s="62" t="inlineStr">
        <is>
          <t>Thu</t>
        </is>
      </c>
      <c r="BF7" s="63" t="inlineStr">
        <is>
          <t>Fri</t>
        </is>
      </c>
      <c r="BG7" s="64" t="inlineStr">
        <is>
          <t>Sat</t>
        </is>
      </c>
      <c r="BH7" s="62" t="inlineStr">
        <is>
          <t>Sun</t>
        </is>
      </c>
      <c r="BI7" s="62" t="inlineStr">
        <is>
          <t>Mon</t>
        </is>
      </c>
      <c r="BJ7" s="62" t="inlineStr">
        <is>
          <t>Tue</t>
        </is>
      </c>
      <c r="BK7" s="62" t="inlineStr">
        <is>
          <t>Wed</t>
        </is>
      </c>
    </row>
    <row r="8" ht="5" customHeight="1">
      <c r="A8" s="65" t="n"/>
      <c r="B8" s="65" t="n"/>
      <c r="C8" s="65" t="n"/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5" t="n"/>
      <c r="BG8" s="65" t="n"/>
      <c r="BH8" s="65" t="n"/>
      <c r="BI8" s="65" t="n"/>
      <c r="BJ8" s="65" t="n"/>
      <c r="BK8" s="65" t="n"/>
    </row>
    <row r="9">
      <c r="A9" s="66" t="inlineStr">
        <is>
          <t>OPENING BALANCE</t>
        </is>
      </c>
      <c r="B9" s="94" t="n"/>
      <c r="C9" s="95" t="n"/>
      <c r="D9" s="67" t="n"/>
      <c r="E9" s="67" t="n"/>
      <c r="F9" s="67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  <c r="AN9" s="67" t="n"/>
      <c r="AO9" s="67" t="n"/>
      <c r="AP9" s="67" t="n"/>
      <c r="AQ9" s="67" t="n"/>
      <c r="AR9" s="67" t="n"/>
      <c r="AS9" s="67" t="n"/>
      <c r="AT9" s="67" t="n"/>
      <c r="AU9" s="67" t="n"/>
      <c r="AV9" s="67" t="n"/>
      <c r="AW9" s="67" t="n"/>
      <c r="AX9" s="67" t="n"/>
      <c r="AY9" s="67" t="n"/>
      <c r="AZ9" s="67" t="n"/>
      <c r="BA9" s="67" t="n"/>
      <c r="BB9" s="67" t="n"/>
      <c r="BC9" s="67" t="n"/>
      <c r="BD9" s="67" t="n"/>
      <c r="BE9" s="67" t="n"/>
      <c r="BF9" s="67" t="n"/>
      <c r="BG9" s="67" t="n"/>
      <c r="BH9" s="67" t="n"/>
      <c r="BI9" s="67" t="n"/>
      <c r="BJ9" s="67" t="n"/>
      <c r="BK9" s="67" t="n"/>
    </row>
    <row r="10">
      <c r="A10" s="68" t="inlineStr">
        <is>
          <t xml:space="preserve">  Opening Cash Position (SAR)</t>
        </is>
      </c>
      <c r="B10" s="52" t="n"/>
      <c r="C10" s="53" t="n"/>
      <c r="D10" s="69" t="n">
        <v>5000000</v>
      </c>
      <c r="E10" s="70">
        <f>D29</f>
        <v/>
      </c>
      <c r="F10" s="70">
        <f>E29</f>
        <v/>
      </c>
      <c r="G10" s="70">
        <f>F29</f>
        <v/>
      </c>
      <c r="H10" s="70">
        <f>G29</f>
        <v/>
      </c>
      <c r="I10" s="71">
        <f>H29</f>
        <v/>
      </c>
      <c r="J10" s="72">
        <f>I29</f>
        <v/>
      </c>
      <c r="K10" s="70">
        <f>J29</f>
        <v/>
      </c>
      <c r="L10" s="70">
        <f>K29</f>
        <v/>
      </c>
      <c r="M10" s="70">
        <f>L29</f>
        <v/>
      </c>
      <c r="N10" s="70">
        <f>M29</f>
        <v/>
      </c>
      <c r="O10" s="70">
        <f>N29</f>
        <v/>
      </c>
      <c r="P10" s="71">
        <f>O29</f>
        <v/>
      </c>
      <c r="Q10" s="72">
        <f>P29</f>
        <v/>
      </c>
      <c r="R10" s="70">
        <f>Q29</f>
        <v/>
      </c>
      <c r="S10" s="70">
        <f>R29</f>
        <v/>
      </c>
      <c r="T10" s="70">
        <f>S29</f>
        <v/>
      </c>
      <c r="U10" s="70">
        <f>T29</f>
        <v/>
      </c>
      <c r="V10" s="70">
        <f>U29</f>
        <v/>
      </c>
      <c r="W10" s="71">
        <f>V29</f>
        <v/>
      </c>
      <c r="X10" s="72">
        <f>W29</f>
        <v/>
      </c>
      <c r="Y10" s="70">
        <f>X29</f>
        <v/>
      </c>
      <c r="Z10" s="70">
        <f>Y29</f>
        <v/>
      </c>
      <c r="AA10" s="70">
        <f>Z29</f>
        <v/>
      </c>
      <c r="AB10" s="70">
        <f>AA29</f>
        <v/>
      </c>
      <c r="AC10" s="70">
        <f>AB29</f>
        <v/>
      </c>
      <c r="AD10" s="71">
        <f>AC29</f>
        <v/>
      </c>
      <c r="AE10" s="72">
        <f>AD29</f>
        <v/>
      </c>
      <c r="AF10" s="70">
        <f>AE29</f>
        <v/>
      </c>
      <c r="AG10" s="70">
        <f>AF29</f>
        <v/>
      </c>
      <c r="AH10" s="70">
        <f>AG29</f>
        <v/>
      </c>
      <c r="AI10" s="70">
        <f>AH29</f>
        <v/>
      </c>
      <c r="AJ10" s="70">
        <f>AI29</f>
        <v/>
      </c>
      <c r="AK10" s="71">
        <f>AJ29</f>
        <v/>
      </c>
      <c r="AL10" s="72">
        <f>AK29</f>
        <v/>
      </c>
      <c r="AM10" s="70">
        <f>AL29</f>
        <v/>
      </c>
      <c r="AN10" s="70">
        <f>AM29</f>
        <v/>
      </c>
      <c r="AO10" s="70">
        <f>AN29</f>
        <v/>
      </c>
      <c r="AP10" s="70">
        <f>AO29</f>
        <v/>
      </c>
      <c r="AQ10" s="70">
        <f>AP29</f>
        <v/>
      </c>
      <c r="AR10" s="71">
        <f>AQ29</f>
        <v/>
      </c>
      <c r="AS10" s="72">
        <f>AR29</f>
        <v/>
      </c>
      <c r="AT10" s="70">
        <f>AS29</f>
        <v/>
      </c>
      <c r="AU10" s="70">
        <f>AT29</f>
        <v/>
      </c>
      <c r="AV10" s="70">
        <f>AU29</f>
        <v/>
      </c>
      <c r="AW10" s="70">
        <f>AV29</f>
        <v/>
      </c>
      <c r="AX10" s="70">
        <f>AW29</f>
        <v/>
      </c>
      <c r="AY10" s="71">
        <f>AX29</f>
        <v/>
      </c>
      <c r="AZ10" s="72">
        <f>AY29</f>
        <v/>
      </c>
      <c r="BA10" s="70">
        <f>AZ29</f>
        <v/>
      </c>
      <c r="BB10" s="70">
        <f>BA29</f>
        <v/>
      </c>
      <c r="BC10" s="70">
        <f>BB29</f>
        <v/>
      </c>
      <c r="BD10" s="70">
        <f>BC29</f>
        <v/>
      </c>
      <c r="BE10" s="70">
        <f>BD29</f>
        <v/>
      </c>
      <c r="BF10" s="71">
        <f>BE29</f>
        <v/>
      </c>
      <c r="BG10" s="72">
        <f>BF29</f>
        <v/>
      </c>
      <c r="BH10" s="70">
        <f>BG29</f>
        <v/>
      </c>
      <c r="BI10" s="70">
        <f>BH29</f>
        <v/>
      </c>
      <c r="BJ10" s="70">
        <f>BI29</f>
        <v/>
      </c>
      <c r="BK10" s="70">
        <f>BJ29</f>
        <v/>
      </c>
    </row>
    <row r="11">
      <c r="A11" s="66" t="inlineStr">
        <is>
          <t>INFLOWS</t>
        </is>
      </c>
      <c r="B11" s="94" t="n"/>
      <c r="C11" s="95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  <c r="AN11" s="67" t="n"/>
      <c r="AO11" s="67" t="n"/>
      <c r="AP11" s="67" t="n"/>
      <c r="AQ11" s="67" t="n"/>
      <c r="AR11" s="67" t="n"/>
      <c r="AS11" s="67" t="n"/>
      <c r="AT11" s="67" t="n"/>
      <c r="AU11" s="67" t="n"/>
      <c r="AV11" s="67" t="n"/>
      <c r="AW11" s="67" t="n"/>
      <c r="AX11" s="67" t="n"/>
      <c r="AY11" s="67" t="n"/>
      <c r="AZ11" s="67" t="n"/>
      <c r="BA11" s="67" t="n"/>
      <c r="BB11" s="67" t="n"/>
      <c r="BC11" s="67" t="n"/>
      <c r="BD11" s="67" t="n"/>
      <c r="BE11" s="67" t="n"/>
      <c r="BF11" s="67" t="n"/>
      <c r="BG11" s="67" t="n"/>
      <c r="BH11" s="67" t="n"/>
      <c r="BI11" s="67" t="n"/>
      <c r="BJ11" s="67" t="n"/>
      <c r="BK11" s="67" t="n"/>
    </row>
    <row r="12">
      <c r="A12" s="68" t="inlineStr">
        <is>
          <t xml:space="preserve">  Expected Collections</t>
        </is>
      </c>
      <c r="B12" s="52" t="n"/>
      <c r="C12" s="53" t="n"/>
      <c r="D12" s="70">
        <f>IFERROR(SUMIF(SRC_Collections.$H$4:$H$500,D$6,SRC_Collections.$G$4:$G$500),0)</f>
        <v/>
      </c>
      <c r="E12" s="70">
        <f>IFERROR(SUMIF(SRC_Collections.$H$4:$H$500,E$6,SRC_Collections.$G$4:$G$500),0)</f>
        <v/>
      </c>
      <c r="F12" s="70">
        <f>IFERROR(SUMIF(SRC_Collections.$H$4:$H$500,F$6,SRC_Collections.$G$4:$G$500),0)</f>
        <v/>
      </c>
      <c r="G12" s="70">
        <f>IFERROR(SUMIF(SRC_Collections.$H$4:$H$500,G$6,SRC_Collections.$G$4:$G$500),0)</f>
        <v/>
      </c>
      <c r="H12" s="70">
        <f>IFERROR(SUMIF(SRC_Collections.$H$4:$H$500,H$6,SRC_Collections.$G$4:$G$500),0)</f>
        <v/>
      </c>
      <c r="I12" s="71">
        <f>IFERROR(SUMIF(SRC_Collections.$H$4:$H$500,I$6,SRC_Collections.$G$4:$G$500),0)</f>
        <v/>
      </c>
      <c r="J12" s="72">
        <f>IFERROR(SUMIF(SRC_Collections.$H$4:$H$500,J$6,SRC_Collections.$G$4:$G$500),0)</f>
        <v/>
      </c>
      <c r="K12" s="70">
        <f>IFERROR(SUMIF(SRC_Collections.$H$4:$H$500,K$6,SRC_Collections.$G$4:$G$500),0)</f>
        <v/>
      </c>
      <c r="L12" s="70">
        <f>IFERROR(SUMIF(SRC_Collections.$H$4:$H$500,L$6,SRC_Collections.$G$4:$G$500),0)</f>
        <v/>
      </c>
      <c r="M12" s="70">
        <f>IFERROR(SUMIF(SRC_Collections.$H$4:$H$500,M$6,SRC_Collections.$G$4:$G$500),0)</f>
        <v/>
      </c>
      <c r="N12" s="70">
        <f>IFERROR(SUMIF(SRC_Collections.$H$4:$H$500,N$6,SRC_Collections.$G$4:$G$500),0)</f>
        <v/>
      </c>
      <c r="O12" s="70">
        <f>IFERROR(SUMIF(SRC_Collections.$H$4:$H$500,O$6,SRC_Collections.$G$4:$G$500),0)</f>
        <v/>
      </c>
      <c r="P12" s="71">
        <f>IFERROR(SUMIF(SRC_Collections.$H$4:$H$500,P$6,SRC_Collections.$G$4:$G$500),0)</f>
        <v/>
      </c>
      <c r="Q12" s="72">
        <f>IFERROR(SUMIF(SRC_Collections.$H$4:$H$500,Q$6,SRC_Collections.$G$4:$G$500),0)</f>
        <v/>
      </c>
      <c r="R12" s="70">
        <f>IFERROR(SUMIF(SRC_Collections.$H$4:$H$500,R$6,SRC_Collections.$G$4:$G$500),0)</f>
        <v/>
      </c>
      <c r="S12" s="70">
        <f>IFERROR(SUMIF(SRC_Collections.$H$4:$H$500,S$6,SRC_Collections.$G$4:$G$500),0)</f>
        <v/>
      </c>
      <c r="T12" s="70">
        <f>IFERROR(SUMIF(SRC_Collections.$H$4:$H$500,T$6,SRC_Collections.$G$4:$G$500),0)</f>
        <v/>
      </c>
      <c r="U12" s="70">
        <f>IFERROR(SUMIF(SRC_Collections.$H$4:$H$500,U$6,SRC_Collections.$G$4:$G$500),0)</f>
        <v/>
      </c>
      <c r="V12" s="70">
        <f>IFERROR(SUMIF(SRC_Collections.$H$4:$H$500,V$6,SRC_Collections.$G$4:$G$500),0)</f>
        <v/>
      </c>
      <c r="W12" s="71">
        <f>IFERROR(SUMIF(SRC_Collections.$H$4:$H$500,W$6,SRC_Collections.$G$4:$G$500),0)</f>
        <v/>
      </c>
      <c r="X12" s="72">
        <f>IFERROR(SUMIF(SRC_Collections.$H$4:$H$500,X$6,SRC_Collections.$G$4:$G$500),0)</f>
        <v/>
      </c>
      <c r="Y12" s="70">
        <f>IFERROR(SUMIF(SRC_Collections.$H$4:$H$500,Y$6,SRC_Collections.$G$4:$G$500),0)</f>
        <v/>
      </c>
      <c r="Z12" s="70">
        <f>IFERROR(SUMIF(SRC_Collections.$H$4:$H$500,Z$6,SRC_Collections.$G$4:$G$500),0)</f>
        <v/>
      </c>
      <c r="AA12" s="70">
        <f>IFERROR(SUMIF(SRC_Collections.$H$4:$H$500,AA$6,SRC_Collections.$G$4:$G$500),0)</f>
        <v/>
      </c>
      <c r="AB12" s="70">
        <f>IFERROR(SUMIF(SRC_Collections.$H$4:$H$500,AB$6,SRC_Collections.$G$4:$G$500),0)</f>
        <v/>
      </c>
      <c r="AC12" s="70">
        <f>IFERROR(SUMIF(SRC_Collections.$H$4:$H$500,AC$6,SRC_Collections.$G$4:$G$500),0)</f>
        <v/>
      </c>
      <c r="AD12" s="71">
        <f>IFERROR(SUMIF(SRC_Collections.$H$4:$H$500,AD$6,SRC_Collections.$G$4:$G$500),0)</f>
        <v/>
      </c>
      <c r="AE12" s="72">
        <f>IFERROR(SUMIF(SRC_Collections.$H$4:$H$500,AE$6,SRC_Collections.$G$4:$G$500),0)</f>
        <v/>
      </c>
      <c r="AF12" s="70">
        <f>IFERROR(SUMIF(SRC_Collections.$H$4:$H$500,AF$6,SRC_Collections.$G$4:$G$500),0)</f>
        <v/>
      </c>
      <c r="AG12" s="70">
        <f>IFERROR(SUMIF(SRC_Collections.$H$4:$H$500,AG$6,SRC_Collections.$G$4:$G$500),0)</f>
        <v/>
      </c>
      <c r="AH12" s="70">
        <f>IFERROR(SUMIF(SRC_Collections.$H$4:$H$500,AH$6,SRC_Collections.$G$4:$G$500),0)</f>
        <v/>
      </c>
      <c r="AI12" s="70">
        <f>IFERROR(SUMIF(SRC_Collections.$H$4:$H$500,AI$6,SRC_Collections.$G$4:$G$500),0)</f>
        <v/>
      </c>
      <c r="AJ12" s="70">
        <f>IFERROR(SUMIF(SRC_Collections.$H$4:$H$500,AJ$6,SRC_Collections.$G$4:$G$500),0)</f>
        <v/>
      </c>
      <c r="AK12" s="71">
        <f>IFERROR(SUMIF(SRC_Collections.$H$4:$H$500,AK$6,SRC_Collections.$G$4:$G$500),0)</f>
        <v/>
      </c>
      <c r="AL12" s="72">
        <f>IFERROR(SUMIF(SRC_Collections.$H$4:$H$500,AL$6,SRC_Collections.$G$4:$G$500),0)</f>
        <v/>
      </c>
      <c r="AM12" s="70">
        <f>IFERROR(SUMIF(SRC_Collections.$H$4:$H$500,AM$6,SRC_Collections.$G$4:$G$500),0)</f>
        <v/>
      </c>
      <c r="AN12" s="70">
        <f>IFERROR(SUMIF(SRC_Collections.$H$4:$H$500,AN$6,SRC_Collections.$G$4:$G$500),0)</f>
        <v/>
      </c>
      <c r="AO12" s="70">
        <f>IFERROR(SUMIF(SRC_Collections.$H$4:$H$500,AO$6,SRC_Collections.$G$4:$G$500),0)</f>
        <v/>
      </c>
      <c r="AP12" s="70">
        <f>IFERROR(SUMIF(SRC_Collections.$H$4:$H$500,AP$6,SRC_Collections.$G$4:$G$500),0)</f>
        <v/>
      </c>
      <c r="AQ12" s="70">
        <f>IFERROR(SUMIF(SRC_Collections.$H$4:$H$500,AQ$6,SRC_Collections.$G$4:$G$500),0)</f>
        <v/>
      </c>
      <c r="AR12" s="71">
        <f>IFERROR(SUMIF(SRC_Collections.$H$4:$H$500,AR$6,SRC_Collections.$G$4:$G$500),0)</f>
        <v/>
      </c>
      <c r="AS12" s="72">
        <f>IFERROR(SUMIF(SRC_Collections.$H$4:$H$500,AS$6,SRC_Collections.$G$4:$G$500),0)</f>
        <v/>
      </c>
      <c r="AT12" s="70">
        <f>IFERROR(SUMIF(SRC_Collections.$H$4:$H$500,AT$6,SRC_Collections.$G$4:$G$500),0)</f>
        <v/>
      </c>
      <c r="AU12" s="70">
        <f>IFERROR(SUMIF(SRC_Collections.$H$4:$H$500,AU$6,SRC_Collections.$G$4:$G$500),0)</f>
        <v/>
      </c>
      <c r="AV12" s="70">
        <f>IFERROR(SUMIF(SRC_Collections.$H$4:$H$500,AV$6,SRC_Collections.$G$4:$G$500),0)</f>
        <v/>
      </c>
      <c r="AW12" s="70">
        <f>IFERROR(SUMIF(SRC_Collections.$H$4:$H$500,AW$6,SRC_Collections.$G$4:$G$500),0)</f>
        <v/>
      </c>
      <c r="AX12" s="70">
        <f>IFERROR(SUMIF(SRC_Collections.$H$4:$H$500,AX$6,SRC_Collections.$G$4:$G$500),0)</f>
        <v/>
      </c>
      <c r="AY12" s="71">
        <f>IFERROR(SUMIF(SRC_Collections.$H$4:$H$500,AY$6,SRC_Collections.$G$4:$G$500),0)</f>
        <v/>
      </c>
      <c r="AZ12" s="72">
        <f>IFERROR(SUMIF(SRC_Collections.$H$4:$H$500,AZ$6,SRC_Collections.$G$4:$G$500),0)</f>
        <v/>
      </c>
      <c r="BA12" s="70">
        <f>IFERROR(SUMIF(SRC_Collections.$H$4:$H$500,BA$6,SRC_Collections.$G$4:$G$500),0)</f>
        <v/>
      </c>
      <c r="BB12" s="70">
        <f>IFERROR(SUMIF(SRC_Collections.$H$4:$H$500,BB$6,SRC_Collections.$G$4:$G$500),0)</f>
        <v/>
      </c>
      <c r="BC12" s="70">
        <f>IFERROR(SUMIF(SRC_Collections.$H$4:$H$500,BC$6,SRC_Collections.$G$4:$G$500),0)</f>
        <v/>
      </c>
      <c r="BD12" s="70">
        <f>IFERROR(SUMIF(SRC_Collections.$H$4:$H$500,BD$6,SRC_Collections.$G$4:$G$500),0)</f>
        <v/>
      </c>
      <c r="BE12" s="70">
        <f>IFERROR(SUMIF(SRC_Collections.$H$4:$H$500,BE$6,SRC_Collections.$G$4:$G$500),0)</f>
        <v/>
      </c>
      <c r="BF12" s="71">
        <f>IFERROR(SUMIF(SRC_Collections.$H$4:$H$500,BF$6,SRC_Collections.$G$4:$G$500),0)</f>
        <v/>
      </c>
      <c r="BG12" s="72">
        <f>IFERROR(SUMIF(SRC_Collections.$H$4:$H$500,BG$6,SRC_Collections.$G$4:$G$500),0)</f>
        <v/>
      </c>
      <c r="BH12" s="70">
        <f>IFERROR(SUMIF(SRC_Collections.$H$4:$H$500,BH$6,SRC_Collections.$G$4:$G$500),0)</f>
        <v/>
      </c>
      <c r="BI12" s="70">
        <f>IFERROR(SUMIF(SRC_Collections.$H$4:$H$500,BI$6,SRC_Collections.$G$4:$G$500),0)</f>
        <v/>
      </c>
      <c r="BJ12" s="70">
        <f>IFERROR(SUMIF(SRC_Collections.$H$4:$H$500,BJ$6,SRC_Collections.$G$4:$G$500),0)</f>
        <v/>
      </c>
      <c r="BK12" s="70">
        <f>IFERROR(SUMIF(SRC_Collections.$H$4:$H$500,BK$6,SRC_Collections.$G$4:$G$500),0)</f>
        <v/>
      </c>
    </row>
    <row r="13">
      <c r="A13" s="68" t="inlineStr">
        <is>
          <t xml:space="preserve">  Deposit Maturities</t>
        </is>
      </c>
      <c r="B13" s="52" t="n"/>
      <c r="C13" s="53" t="n"/>
      <c r="D13" s="70">
        <f>IFERROR(SUMIF(SRC_Deposits.$I$4:$I$500,D$6,SRC_Deposits.$H$4:$H$500),0)</f>
        <v/>
      </c>
      <c r="E13" s="70">
        <f>IFERROR(SUMIF(SRC_Deposits.$I$4:$I$500,E$6,SRC_Deposits.$H$4:$H$500),0)</f>
        <v/>
      </c>
      <c r="F13" s="70">
        <f>IFERROR(SUMIF(SRC_Deposits.$I$4:$I$500,F$6,SRC_Deposits.$H$4:$H$500),0)</f>
        <v/>
      </c>
      <c r="G13" s="70">
        <f>IFERROR(SUMIF(SRC_Deposits.$I$4:$I$500,G$6,SRC_Deposits.$H$4:$H$500),0)</f>
        <v/>
      </c>
      <c r="H13" s="70">
        <f>IFERROR(SUMIF(SRC_Deposits.$I$4:$I$500,H$6,SRC_Deposits.$H$4:$H$500),0)</f>
        <v/>
      </c>
      <c r="I13" s="71">
        <f>IFERROR(SUMIF(SRC_Deposits.$I$4:$I$500,I$6,SRC_Deposits.$H$4:$H$500),0)</f>
        <v/>
      </c>
      <c r="J13" s="72">
        <f>IFERROR(SUMIF(SRC_Deposits.$I$4:$I$500,J$6,SRC_Deposits.$H$4:$H$500),0)</f>
        <v/>
      </c>
      <c r="K13" s="70">
        <f>IFERROR(SUMIF(SRC_Deposits.$I$4:$I$500,K$6,SRC_Deposits.$H$4:$H$500),0)</f>
        <v/>
      </c>
      <c r="L13" s="70">
        <f>IFERROR(SUMIF(SRC_Deposits.$I$4:$I$500,L$6,SRC_Deposits.$H$4:$H$500),0)</f>
        <v/>
      </c>
      <c r="M13" s="70">
        <f>IFERROR(SUMIF(SRC_Deposits.$I$4:$I$500,M$6,SRC_Deposits.$H$4:$H$500),0)</f>
        <v/>
      </c>
      <c r="N13" s="70">
        <f>IFERROR(SUMIF(SRC_Deposits.$I$4:$I$500,N$6,SRC_Deposits.$H$4:$H$500),0)</f>
        <v/>
      </c>
      <c r="O13" s="70">
        <f>IFERROR(SUMIF(SRC_Deposits.$I$4:$I$500,O$6,SRC_Deposits.$H$4:$H$500),0)</f>
        <v/>
      </c>
      <c r="P13" s="71">
        <f>IFERROR(SUMIF(SRC_Deposits.$I$4:$I$500,P$6,SRC_Deposits.$H$4:$H$500),0)</f>
        <v/>
      </c>
      <c r="Q13" s="72">
        <f>IFERROR(SUMIF(SRC_Deposits.$I$4:$I$500,Q$6,SRC_Deposits.$H$4:$H$500),0)</f>
        <v/>
      </c>
      <c r="R13" s="70">
        <f>IFERROR(SUMIF(SRC_Deposits.$I$4:$I$500,R$6,SRC_Deposits.$H$4:$H$500),0)</f>
        <v/>
      </c>
      <c r="S13" s="70">
        <f>IFERROR(SUMIF(SRC_Deposits.$I$4:$I$500,S$6,SRC_Deposits.$H$4:$H$500),0)</f>
        <v/>
      </c>
      <c r="T13" s="70">
        <f>IFERROR(SUMIF(SRC_Deposits.$I$4:$I$500,T$6,SRC_Deposits.$H$4:$H$500),0)</f>
        <v/>
      </c>
      <c r="U13" s="70">
        <f>IFERROR(SUMIF(SRC_Deposits.$I$4:$I$500,U$6,SRC_Deposits.$H$4:$H$500),0)</f>
        <v/>
      </c>
      <c r="V13" s="70">
        <f>IFERROR(SUMIF(SRC_Deposits.$I$4:$I$500,V$6,SRC_Deposits.$H$4:$H$500),0)</f>
        <v/>
      </c>
      <c r="W13" s="71">
        <f>IFERROR(SUMIF(SRC_Deposits.$I$4:$I$500,W$6,SRC_Deposits.$H$4:$H$500),0)</f>
        <v/>
      </c>
      <c r="X13" s="72">
        <f>IFERROR(SUMIF(SRC_Deposits.$I$4:$I$500,X$6,SRC_Deposits.$H$4:$H$500),0)</f>
        <v/>
      </c>
      <c r="Y13" s="70">
        <f>IFERROR(SUMIF(SRC_Deposits.$I$4:$I$500,Y$6,SRC_Deposits.$H$4:$H$500),0)</f>
        <v/>
      </c>
      <c r="Z13" s="70">
        <f>IFERROR(SUMIF(SRC_Deposits.$I$4:$I$500,Z$6,SRC_Deposits.$H$4:$H$500),0)</f>
        <v/>
      </c>
      <c r="AA13" s="70">
        <f>IFERROR(SUMIF(SRC_Deposits.$I$4:$I$500,AA$6,SRC_Deposits.$H$4:$H$500),0)</f>
        <v/>
      </c>
      <c r="AB13" s="70">
        <f>IFERROR(SUMIF(SRC_Deposits.$I$4:$I$500,AB$6,SRC_Deposits.$H$4:$H$500),0)</f>
        <v/>
      </c>
      <c r="AC13" s="70">
        <f>IFERROR(SUMIF(SRC_Deposits.$I$4:$I$500,AC$6,SRC_Deposits.$H$4:$H$500),0)</f>
        <v/>
      </c>
      <c r="AD13" s="71">
        <f>IFERROR(SUMIF(SRC_Deposits.$I$4:$I$500,AD$6,SRC_Deposits.$H$4:$H$500),0)</f>
        <v/>
      </c>
      <c r="AE13" s="72">
        <f>IFERROR(SUMIF(SRC_Deposits.$I$4:$I$500,AE$6,SRC_Deposits.$H$4:$H$500),0)</f>
        <v/>
      </c>
      <c r="AF13" s="70">
        <f>IFERROR(SUMIF(SRC_Deposits.$I$4:$I$500,AF$6,SRC_Deposits.$H$4:$H$500),0)</f>
        <v/>
      </c>
      <c r="AG13" s="70">
        <f>IFERROR(SUMIF(SRC_Deposits.$I$4:$I$500,AG$6,SRC_Deposits.$H$4:$H$500),0)</f>
        <v/>
      </c>
      <c r="AH13" s="70">
        <f>IFERROR(SUMIF(SRC_Deposits.$I$4:$I$500,AH$6,SRC_Deposits.$H$4:$H$500),0)</f>
        <v/>
      </c>
      <c r="AI13" s="70">
        <f>IFERROR(SUMIF(SRC_Deposits.$I$4:$I$500,AI$6,SRC_Deposits.$H$4:$H$500),0)</f>
        <v/>
      </c>
      <c r="AJ13" s="70">
        <f>IFERROR(SUMIF(SRC_Deposits.$I$4:$I$500,AJ$6,SRC_Deposits.$H$4:$H$500),0)</f>
        <v/>
      </c>
      <c r="AK13" s="71">
        <f>IFERROR(SUMIF(SRC_Deposits.$I$4:$I$500,AK$6,SRC_Deposits.$H$4:$H$500),0)</f>
        <v/>
      </c>
      <c r="AL13" s="72">
        <f>IFERROR(SUMIF(SRC_Deposits.$I$4:$I$500,AL$6,SRC_Deposits.$H$4:$H$500),0)</f>
        <v/>
      </c>
      <c r="AM13" s="70">
        <f>IFERROR(SUMIF(SRC_Deposits.$I$4:$I$500,AM$6,SRC_Deposits.$H$4:$H$500),0)</f>
        <v/>
      </c>
      <c r="AN13" s="70">
        <f>IFERROR(SUMIF(SRC_Deposits.$I$4:$I$500,AN$6,SRC_Deposits.$H$4:$H$500),0)</f>
        <v/>
      </c>
      <c r="AO13" s="70">
        <f>IFERROR(SUMIF(SRC_Deposits.$I$4:$I$500,AO$6,SRC_Deposits.$H$4:$H$500),0)</f>
        <v/>
      </c>
      <c r="AP13" s="70">
        <f>IFERROR(SUMIF(SRC_Deposits.$I$4:$I$500,AP$6,SRC_Deposits.$H$4:$H$500),0)</f>
        <v/>
      </c>
      <c r="AQ13" s="70">
        <f>IFERROR(SUMIF(SRC_Deposits.$I$4:$I$500,AQ$6,SRC_Deposits.$H$4:$H$500),0)</f>
        <v/>
      </c>
      <c r="AR13" s="71">
        <f>IFERROR(SUMIF(SRC_Deposits.$I$4:$I$500,AR$6,SRC_Deposits.$H$4:$H$500),0)</f>
        <v/>
      </c>
      <c r="AS13" s="72">
        <f>IFERROR(SUMIF(SRC_Deposits.$I$4:$I$500,AS$6,SRC_Deposits.$H$4:$H$500),0)</f>
        <v/>
      </c>
      <c r="AT13" s="70">
        <f>IFERROR(SUMIF(SRC_Deposits.$I$4:$I$500,AT$6,SRC_Deposits.$H$4:$H$500),0)</f>
        <v/>
      </c>
      <c r="AU13" s="70">
        <f>IFERROR(SUMIF(SRC_Deposits.$I$4:$I$500,AU$6,SRC_Deposits.$H$4:$H$500),0)</f>
        <v/>
      </c>
      <c r="AV13" s="70">
        <f>IFERROR(SUMIF(SRC_Deposits.$I$4:$I$500,AV$6,SRC_Deposits.$H$4:$H$500),0)</f>
        <v/>
      </c>
      <c r="AW13" s="70">
        <f>IFERROR(SUMIF(SRC_Deposits.$I$4:$I$500,AW$6,SRC_Deposits.$H$4:$H$500),0)</f>
        <v/>
      </c>
      <c r="AX13" s="70">
        <f>IFERROR(SUMIF(SRC_Deposits.$I$4:$I$500,AX$6,SRC_Deposits.$H$4:$H$500),0)</f>
        <v/>
      </c>
      <c r="AY13" s="71">
        <f>IFERROR(SUMIF(SRC_Deposits.$I$4:$I$500,AY$6,SRC_Deposits.$H$4:$H$500),0)</f>
        <v/>
      </c>
      <c r="AZ13" s="72">
        <f>IFERROR(SUMIF(SRC_Deposits.$I$4:$I$500,AZ$6,SRC_Deposits.$H$4:$H$500),0)</f>
        <v/>
      </c>
      <c r="BA13" s="70">
        <f>IFERROR(SUMIF(SRC_Deposits.$I$4:$I$500,BA$6,SRC_Deposits.$H$4:$H$500),0)</f>
        <v/>
      </c>
      <c r="BB13" s="70">
        <f>IFERROR(SUMIF(SRC_Deposits.$I$4:$I$500,BB$6,SRC_Deposits.$H$4:$H$500),0)</f>
        <v/>
      </c>
      <c r="BC13" s="70">
        <f>IFERROR(SUMIF(SRC_Deposits.$I$4:$I$500,BC$6,SRC_Deposits.$H$4:$H$500),0)</f>
        <v/>
      </c>
      <c r="BD13" s="70">
        <f>IFERROR(SUMIF(SRC_Deposits.$I$4:$I$500,BD$6,SRC_Deposits.$H$4:$H$500),0)</f>
        <v/>
      </c>
      <c r="BE13" s="70">
        <f>IFERROR(SUMIF(SRC_Deposits.$I$4:$I$500,BE$6,SRC_Deposits.$H$4:$H$500),0)</f>
        <v/>
      </c>
      <c r="BF13" s="71">
        <f>IFERROR(SUMIF(SRC_Deposits.$I$4:$I$500,BF$6,SRC_Deposits.$H$4:$H$500),0)</f>
        <v/>
      </c>
      <c r="BG13" s="72">
        <f>IFERROR(SUMIF(SRC_Deposits.$I$4:$I$500,BG$6,SRC_Deposits.$H$4:$H$500),0)</f>
        <v/>
      </c>
      <c r="BH13" s="70">
        <f>IFERROR(SUMIF(SRC_Deposits.$I$4:$I$500,BH$6,SRC_Deposits.$H$4:$H$500),0)</f>
        <v/>
      </c>
      <c r="BI13" s="70">
        <f>IFERROR(SUMIF(SRC_Deposits.$I$4:$I$500,BI$6,SRC_Deposits.$H$4:$H$500),0)</f>
        <v/>
      </c>
      <c r="BJ13" s="70">
        <f>IFERROR(SUMIF(SRC_Deposits.$I$4:$I$500,BJ$6,SRC_Deposits.$H$4:$H$500),0)</f>
        <v/>
      </c>
      <c r="BK13" s="70">
        <f>IFERROR(SUMIF(SRC_Deposits.$I$4:$I$500,BK$6,SRC_Deposits.$H$4:$H$500),0)</f>
        <v/>
      </c>
    </row>
    <row r="14">
      <c r="A14" s="68" t="inlineStr">
        <is>
          <t xml:space="preserve">  Other Inflows</t>
        </is>
      </c>
      <c r="B14" s="52" t="n"/>
      <c r="C14" s="53" t="n"/>
      <c r="D14" s="69" t="n">
        <v>0</v>
      </c>
      <c r="E14" s="69" t="n">
        <v>0</v>
      </c>
      <c r="F14" s="69" t="n">
        <v>0</v>
      </c>
      <c r="G14" s="69" t="n">
        <v>0</v>
      </c>
      <c r="H14" s="69" t="n">
        <v>0</v>
      </c>
      <c r="I14" s="69" t="n">
        <v>0</v>
      </c>
      <c r="J14" s="69" t="n">
        <v>0</v>
      </c>
      <c r="K14" s="69" t="n">
        <v>0</v>
      </c>
      <c r="L14" s="69" t="n">
        <v>0</v>
      </c>
      <c r="M14" s="69" t="n">
        <v>0</v>
      </c>
      <c r="N14" s="69" t="n">
        <v>0</v>
      </c>
      <c r="O14" s="69" t="n">
        <v>0</v>
      </c>
      <c r="P14" s="69" t="n">
        <v>0</v>
      </c>
      <c r="Q14" s="69" t="n">
        <v>0</v>
      </c>
      <c r="R14" s="69" t="n">
        <v>0</v>
      </c>
      <c r="S14" s="69" t="n">
        <v>0</v>
      </c>
      <c r="T14" s="69" t="n">
        <v>0</v>
      </c>
      <c r="U14" s="69" t="n">
        <v>0</v>
      </c>
      <c r="V14" s="69" t="n">
        <v>0</v>
      </c>
      <c r="W14" s="69" t="n">
        <v>0</v>
      </c>
      <c r="X14" s="69" t="n">
        <v>0</v>
      </c>
      <c r="Y14" s="69" t="n">
        <v>0</v>
      </c>
      <c r="Z14" s="69" t="n">
        <v>0</v>
      </c>
      <c r="AA14" s="69" t="n">
        <v>0</v>
      </c>
      <c r="AB14" s="69" t="n">
        <v>0</v>
      </c>
      <c r="AC14" s="69" t="n">
        <v>0</v>
      </c>
      <c r="AD14" s="69" t="n">
        <v>0</v>
      </c>
      <c r="AE14" s="69" t="n">
        <v>0</v>
      </c>
      <c r="AF14" s="69" t="n">
        <v>0</v>
      </c>
      <c r="AG14" s="69" t="n">
        <v>0</v>
      </c>
      <c r="AH14" s="69" t="n">
        <v>0</v>
      </c>
      <c r="AI14" s="69" t="n">
        <v>0</v>
      </c>
      <c r="AJ14" s="69" t="n">
        <v>0</v>
      </c>
      <c r="AK14" s="69" t="n">
        <v>0</v>
      </c>
      <c r="AL14" s="69" t="n">
        <v>0</v>
      </c>
      <c r="AM14" s="69" t="n">
        <v>0</v>
      </c>
      <c r="AN14" s="69" t="n">
        <v>0</v>
      </c>
      <c r="AO14" s="69" t="n">
        <v>0</v>
      </c>
      <c r="AP14" s="69" t="n">
        <v>0</v>
      </c>
      <c r="AQ14" s="69" t="n">
        <v>0</v>
      </c>
      <c r="AR14" s="69" t="n">
        <v>0</v>
      </c>
      <c r="AS14" s="69" t="n">
        <v>0</v>
      </c>
      <c r="AT14" s="69" t="n">
        <v>0</v>
      </c>
      <c r="AU14" s="69" t="n">
        <v>0</v>
      </c>
      <c r="AV14" s="69" t="n">
        <v>0</v>
      </c>
      <c r="AW14" s="69" t="n">
        <v>0</v>
      </c>
      <c r="AX14" s="69" t="n">
        <v>0</v>
      </c>
      <c r="AY14" s="69" t="n">
        <v>0</v>
      </c>
      <c r="AZ14" s="69" t="n">
        <v>0</v>
      </c>
      <c r="BA14" s="69" t="n">
        <v>0</v>
      </c>
      <c r="BB14" s="69" t="n">
        <v>0</v>
      </c>
      <c r="BC14" s="69" t="n">
        <v>0</v>
      </c>
      <c r="BD14" s="69" t="n">
        <v>0</v>
      </c>
      <c r="BE14" s="69" t="n">
        <v>0</v>
      </c>
      <c r="BF14" s="69" t="n">
        <v>0</v>
      </c>
      <c r="BG14" s="69" t="n">
        <v>0</v>
      </c>
      <c r="BH14" s="69" t="n">
        <v>0</v>
      </c>
      <c r="BI14" s="69" t="n">
        <v>0</v>
      </c>
      <c r="BJ14" s="69" t="n">
        <v>0</v>
      </c>
      <c r="BK14" s="69" t="n">
        <v>0</v>
      </c>
    </row>
    <row r="15">
      <c r="A15" s="73" t="inlineStr">
        <is>
          <t xml:space="preserve">  TOTAL INFLOWS</t>
        </is>
      </c>
      <c r="B15" s="52" t="n"/>
      <c r="C15" s="53" t="n"/>
      <c r="D15" s="74">
        <f>SUM(D12:D14)</f>
        <v/>
      </c>
      <c r="E15" s="74">
        <f>SUM(E12:E14)</f>
        <v/>
      </c>
      <c r="F15" s="74">
        <f>SUM(F12:F14)</f>
        <v/>
      </c>
      <c r="G15" s="74">
        <f>SUM(G12:G14)</f>
        <v/>
      </c>
      <c r="H15" s="74">
        <f>SUM(H12:H14)</f>
        <v/>
      </c>
      <c r="I15" s="74">
        <f>SUM(I12:I14)</f>
        <v/>
      </c>
      <c r="J15" s="74">
        <f>SUM(J12:J14)</f>
        <v/>
      </c>
      <c r="K15" s="74">
        <f>SUM(K12:K14)</f>
        <v/>
      </c>
      <c r="L15" s="74">
        <f>SUM(L12:L14)</f>
        <v/>
      </c>
      <c r="M15" s="74">
        <f>SUM(M12:M14)</f>
        <v/>
      </c>
      <c r="N15" s="74">
        <f>SUM(N12:N14)</f>
        <v/>
      </c>
      <c r="O15" s="74">
        <f>SUM(O12:O14)</f>
        <v/>
      </c>
      <c r="P15" s="74">
        <f>SUM(P12:P14)</f>
        <v/>
      </c>
      <c r="Q15" s="74">
        <f>SUM(Q12:Q14)</f>
        <v/>
      </c>
      <c r="R15" s="74">
        <f>SUM(R12:R14)</f>
        <v/>
      </c>
      <c r="S15" s="74">
        <f>SUM(S12:S14)</f>
        <v/>
      </c>
      <c r="T15" s="74">
        <f>SUM(T12:T14)</f>
        <v/>
      </c>
      <c r="U15" s="74">
        <f>SUM(U12:U14)</f>
        <v/>
      </c>
      <c r="V15" s="74">
        <f>SUM(V12:V14)</f>
        <v/>
      </c>
      <c r="W15" s="74">
        <f>SUM(W12:W14)</f>
        <v/>
      </c>
      <c r="X15" s="74">
        <f>SUM(X12:X14)</f>
        <v/>
      </c>
      <c r="Y15" s="74">
        <f>SUM(Y12:Y14)</f>
        <v/>
      </c>
      <c r="Z15" s="74">
        <f>SUM(Z12:Z14)</f>
        <v/>
      </c>
      <c r="AA15" s="74">
        <f>SUM(AA12:AA14)</f>
        <v/>
      </c>
      <c r="AB15" s="74">
        <f>SUM(AB12:AB14)</f>
        <v/>
      </c>
      <c r="AC15" s="74">
        <f>SUM(AC12:AC14)</f>
        <v/>
      </c>
      <c r="AD15" s="74">
        <f>SUM(AD12:AD14)</f>
        <v/>
      </c>
      <c r="AE15" s="74">
        <f>SUM(AE12:AE14)</f>
        <v/>
      </c>
      <c r="AF15" s="74">
        <f>SUM(AF12:AF14)</f>
        <v/>
      </c>
      <c r="AG15" s="74">
        <f>SUM(AG12:AG14)</f>
        <v/>
      </c>
      <c r="AH15" s="74">
        <f>SUM(AH12:AH14)</f>
        <v/>
      </c>
      <c r="AI15" s="74">
        <f>SUM(AI12:AI14)</f>
        <v/>
      </c>
      <c r="AJ15" s="74">
        <f>SUM(AJ12:AJ14)</f>
        <v/>
      </c>
      <c r="AK15" s="74">
        <f>SUM(AK12:AK14)</f>
        <v/>
      </c>
      <c r="AL15" s="74">
        <f>SUM(AL12:AL14)</f>
        <v/>
      </c>
      <c r="AM15" s="74">
        <f>SUM(AM12:AM14)</f>
        <v/>
      </c>
      <c r="AN15" s="74">
        <f>SUM(AN12:AN14)</f>
        <v/>
      </c>
      <c r="AO15" s="74">
        <f>SUM(AO12:AO14)</f>
        <v/>
      </c>
      <c r="AP15" s="74">
        <f>SUM(AP12:AP14)</f>
        <v/>
      </c>
      <c r="AQ15" s="74">
        <f>SUM(AQ12:AQ14)</f>
        <v/>
      </c>
      <c r="AR15" s="74">
        <f>SUM(AR12:AR14)</f>
        <v/>
      </c>
      <c r="AS15" s="74">
        <f>SUM(AS12:AS14)</f>
        <v/>
      </c>
      <c r="AT15" s="74">
        <f>SUM(AT12:AT14)</f>
        <v/>
      </c>
      <c r="AU15" s="74">
        <f>SUM(AU12:AU14)</f>
        <v/>
      </c>
      <c r="AV15" s="74">
        <f>SUM(AV12:AV14)</f>
        <v/>
      </c>
      <c r="AW15" s="74">
        <f>SUM(AW12:AW14)</f>
        <v/>
      </c>
      <c r="AX15" s="74">
        <f>SUM(AX12:AX14)</f>
        <v/>
      </c>
      <c r="AY15" s="74">
        <f>SUM(AY12:AY14)</f>
        <v/>
      </c>
      <c r="AZ15" s="74">
        <f>SUM(AZ12:AZ14)</f>
        <v/>
      </c>
      <c r="BA15" s="74">
        <f>SUM(BA12:BA14)</f>
        <v/>
      </c>
      <c r="BB15" s="74">
        <f>SUM(BB12:BB14)</f>
        <v/>
      </c>
      <c r="BC15" s="74">
        <f>SUM(BC12:BC14)</f>
        <v/>
      </c>
      <c r="BD15" s="74">
        <f>SUM(BD12:BD14)</f>
        <v/>
      </c>
      <c r="BE15" s="74">
        <f>SUM(BE12:BE14)</f>
        <v/>
      </c>
      <c r="BF15" s="74">
        <f>SUM(BF12:BF14)</f>
        <v/>
      </c>
      <c r="BG15" s="74">
        <f>SUM(BG12:BG14)</f>
        <v/>
      </c>
      <c r="BH15" s="74">
        <f>SUM(BH12:BH14)</f>
        <v/>
      </c>
      <c r="BI15" s="74">
        <f>SUM(BI12:BI14)</f>
        <v/>
      </c>
      <c r="BJ15" s="74">
        <f>SUM(BJ12:BJ14)</f>
        <v/>
      </c>
      <c r="BK15" s="74">
        <f>SUM(BK12:BK14)</f>
        <v/>
      </c>
    </row>
    <row r="16">
      <c r="A16" s="66" t="inlineStr">
        <is>
          <t>OUTFLOWS</t>
        </is>
      </c>
      <c r="B16" s="94" t="n"/>
      <c r="C16" s="95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7" t="n"/>
      <c r="AI16" s="67" t="n"/>
      <c r="AJ16" s="67" t="n"/>
      <c r="AK16" s="67" t="n"/>
      <c r="AL16" s="67" t="n"/>
      <c r="AM16" s="67" t="n"/>
      <c r="AN16" s="67" t="n"/>
      <c r="AO16" s="67" t="n"/>
      <c r="AP16" s="67" t="n"/>
      <c r="AQ16" s="67" t="n"/>
      <c r="AR16" s="67" t="n"/>
      <c r="AS16" s="67" t="n"/>
      <c r="AT16" s="67" t="n"/>
      <c r="AU16" s="67" t="n"/>
      <c r="AV16" s="67" t="n"/>
      <c r="AW16" s="67" t="n"/>
      <c r="AX16" s="67" t="n"/>
      <c r="AY16" s="67" t="n"/>
      <c r="AZ16" s="67" t="n"/>
      <c r="BA16" s="67" t="n"/>
      <c r="BB16" s="67" t="n"/>
      <c r="BC16" s="67" t="n"/>
      <c r="BD16" s="67" t="n"/>
      <c r="BE16" s="67" t="n"/>
      <c r="BF16" s="67" t="n"/>
      <c r="BG16" s="67" t="n"/>
      <c r="BH16" s="67" t="n"/>
      <c r="BI16" s="67" t="n"/>
      <c r="BJ16" s="67" t="n"/>
      <c r="BK16" s="67" t="n"/>
    </row>
    <row r="17">
      <c r="A17" s="68" t="inlineStr">
        <is>
          <t xml:space="preserve">  Operating Expenditures (OPeX)</t>
        </is>
      </c>
      <c r="B17" s="52" t="n"/>
      <c r="C17" s="53" t="n"/>
      <c r="D17" s="70">
        <f>IFERROR(SUMIF(SRC_OPeX.$H$4:$H$500,D$6,SRC_OPeX.$G$4:$G$500),0)</f>
        <v/>
      </c>
      <c r="E17" s="70">
        <f>IFERROR(SUMIF(SRC_OPeX.$H$4:$H$500,E$6,SRC_OPeX.$G$4:$G$500),0)</f>
        <v/>
      </c>
      <c r="F17" s="70">
        <f>IFERROR(SUMIF(SRC_OPeX.$H$4:$H$500,F$6,SRC_OPeX.$G$4:$G$500),0)</f>
        <v/>
      </c>
      <c r="G17" s="70">
        <f>IFERROR(SUMIF(SRC_OPeX.$H$4:$H$500,G$6,SRC_OPeX.$G$4:$G$500),0)</f>
        <v/>
      </c>
      <c r="H17" s="70">
        <f>IFERROR(SUMIF(SRC_OPeX.$H$4:$H$500,H$6,SRC_OPeX.$G$4:$G$500),0)</f>
        <v/>
      </c>
      <c r="I17" s="71">
        <f>IFERROR(SUMIF(SRC_OPeX.$H$4:$H$500,I$6,SRC_OPeX.$G$4:$G$500),0)</f>
        <v/>
      </c>
      <c r="J17" s="72">
        <f>IFERROR(SUMIF(SRC_OPeX.$H$4:$H$500,J$6,SRC_OPeX.$G$4:$G$500),0)</f>
        <v/>
      </c>
      <c r="K17" s="70">
        <f>IFERROR(SUMIF(SRC_OPeX.$H$4:$H$500,K$6,SRC_OPeX.$G$4:$G$500),0)</f>
        <v/>
      </c>
      <c r="L17" s="70">
        <f>IFERROR(SUMIF(SRC_OPeX.$H$4:$H$500,L$6,SRC_OPeX.$G$4:$G$500),0)</f>
        <v/>
      </c>
      <c r="M17" s="70">
        <f>IFERROR(SUMIF(SRC_OPeX.$H$4:$H$500,M$6,SRC_OPeX.$G$4:$G$500),0)</f>
        <v/>
      </c>
      <c r="N17" s="70">
        <f>IFERROR(SUMIF(SRC_OPeX.$H$4:$H$500,N$6,SRC_OPeX.$G$4:$G$500),0)</f>
        <v/>
      </c>
      <c r="O17" s="70">
        <f>IFERROR(SUMIF(SRC_OPeX.$H$4:$H$500,O$6,SRC_OPeX.$G$4:$G$500),0)</f>
        <v/>
      </c>
      <c r="P17" s="71">
        <f>IFERROR(SUMIF(SRC_OPeX.$H$4:$H$500,P$6,SRC_OPeX.$G$4:$G$500),0)</f>
        <v/>
      </c>
      <c r="Q17" s="72">
        <f>IFERROR(SUMIF(SRC_OPeX.$H$4:$H$500,Q$6,SRC_OPeX.$G$4:$G$500),0)</f>
        <v/>
      </c>
      <c r="R17" s="70">
        <f>IFERROR(SUMIF(SRC_OPeX.$H$4:$H$500,R$6,SRC_OPeX.$G$4:$G$500),0)</f>
        <v/>
      </c>
      <c r="S17" s="70">
        <f>IFERROR(SUMIF(SRC_OPeX.$H$4:$H$500,S$6,SRC_OPeX.$G$4:$G$500),0)</f>
        <v/>
      </c>
      <c r="T17" s="70">
        <f>IFERROR(SUMIF(SRC_OPeX.$H$4:$H$500,T$6,SRC_OPeX.$G$4:$G$500),0)</f>
        <v/>
      </c>
      <c r="U17" s="70">
        <f>IFERROR(SUMIF(SRC_OPeX.$H$4:$H$500,U$6,SRC_OPeX.$G$4:$G$500),0)</f>
        <v/>
      </c>
      <c r="V17" s="70">
        <f>IFERROR(SUMIF(SRC_OPeX.$H$4:$H$500,V$6,SRC_OPeX.$G$4:$G$500),0)</f>
        <v/>
      </c>
      <c r="W17" s="71">
        <f>IFERROR(SUMIF(SRC_OPeX.$H$4:$H$500,W$6,SRC_OPeX.$G$4:$G$500),0)</f>
        <v/>
      </c>
      <c r="X17" s="72">
        <f>IFERROR(SUMIF(SRC_OPeX.$H$4:$H$500,X$6,SRC_OPeX.$G$4:$G$500),0)</f>
        <v/>
      </c>
      <c r="Y17" s="70">
        <f>IFERROR(SUMIF(SRC_OPeX.$H$4:$H$500,Y$6,SRC_OPeX.$G$4:$G$500),0)</f>
        <v/>
      </c>
      <c r="Z17" s="70">
        <f>IFERROR(SUMIF(SRC_OPeX.$H$4:$H$500,Z$6,SRC_OPeX.$G$4:$G$500),0)</f>
        <v/>
      </c>
      <c r="AA17" s="70">
        <f>IFERROR(SUMIF(SRC_OPeX.$H$4:$H$500,AA$6,SRC_OPeX.$G$4:$G$500),0)</f>
        <v/>
      </c>
      <c r="AB17" s="70">
        <f>IFERROR(SUMIF(SRC_OPeX.$H$4:$H$500,AB$6,SRC_OPeX.$G$4:$G$500),0)</f>
        <v/>
      </c>
      <c r="AC17" s="70">
        <f>IFERROR(SUMIF(SRC_OPeX.$H$4:$H$500,AC$6,SRC_OPeX.$G$4:$G$500),0)</f>
        <v/>
      </c>
      <c r="AD17" s="71">
        <f>IFERROR(SUMIF(SRC_OPeX.$H$4:$H$500,AD$6,SRC_OPeX.$G$4:$G$500),0)</f>
        <v/>
      </c>
      <c r="AE17" s="72">
        <f>IFERROR(SUMIF(SRC_OPeX.$H$4:$H$500,AE$6,SRC_OPeX.$G$4:$G$500),0)</f>
        <v/>
      </c>
      <c r="AF17" s="70">
        <f>IFERROR(SUMIF(SRC_OPeX.$H$4:$H$500,AF$6,SRC_OPeX.$G$4:$G$500),0)</f>
        <v/>
      </c>
      <c r="AG17" s="70">
        <f>IFERROR(SUMIF(SRC_OPeX.$H$4:$H$500,AG$6,SRC_OPeX.$G$4:$G$500),0)</f>
        <v/>
      </c>
      <c r="AH17" s="70">
        <f>IFERROR(SUMIF(SRC_OPeX.$H$4:$H$500,AH$6,SRC_OPeX.$G$4:$G$500),0)</f>
        <v/>
      </c>
      <c r="AI17" s="70">
        <f>IFERROR(SUMIF(SRC_OPeX.$H$4:$H$500,AI$6,SRC_OPeX.$G$4:$G$500),0)</f>
        <v/>
      </c>
      <c r="AJ17" s="70">
        <f>IFERROR(SUMIF(SRC_OPeX.$H$4:$H$500,AJ$6,SRC_OPeX.$G$4:$G$500),0)</f>
        <v/>
      </c>
      <c r="AK17" s="71">
        <f>IFERROR(SUMIF(SRC_OPeX.$H$4:$H$500,AK$6,SRC_OPeX.$G$4:$G$500),0)</f>
        <v/>
      </c>
      <c r="AL17" s="72">
        <f>IFERROR(SUMIF(SRC_OPeX.$H$4:$H$500,AL$6,SRC_OPeX.$G$4:$G$500),0)</f>
        <v/>
      </c>
      <c r="AM17" s="70">
        <f>IFERROR(SUMIF(SRC_OPeX.$H$4:$H$500,AM$6,SRC_OPeX.$G$4:$G$500),0)</f>
        <v/>
      </c>
      <c r="AN17" s="70">
        <f>IFERROR(SUMIF(SRC_OPeX.$H$4:$H$500,AN$6,SRC_OPeX.$G$4:$G$500),0)</f>
        <v/>
      </c>
      <c r="AO17" s="70">
        <f>IFERROR(SUMIF(SRC_OPeX.$H$4:$H$500,AO$6,SRC_OPeX.$G$4:$G$500),0)</f>
        <v/>
      </c>
      <c r="AP17" s="70">
        <f>IFERROR(SUMIF(SRC_OPeX.$H$4:$H$500,AP$6,SRC_OPeX.$G$4:$G$500),0)</f>
        <v/>
      </c>
      <c r="AQ17" s="70">
        <f>IFERROR(SUMIF(SRC_OPeX.$H$4:$H$500,AQ$6,SRC_OPeX.$G$4:$G$500),0)</f>
        <v/>
      </c>
      <c r="AR17" s="71">
        <f>IFERROR(SUMIF(SRC_OPeX.$H$4:$H$500,AR$6,SRC_OPeX.$G$4:$G$500),0)</f>
        <v/>
      </c>
      <c r="AS17" s="72">
        <f>IFERROR(SUMIF(SRC_OPeX.$H$4:$H$500,AS$6,SRC_OPeX.$G$4:$G$500),0)</f>
        <v/>
      </c>
      <c r="AT17" s="70">
        <f>IFERROR(SUMIF(SRC_OPeX.$H$4:$H$500,AT$6,SRC_OPeX.$G$4:$G$500),0)</f>
        <v/>
      </c>
      <c r="AU17" s="70">
        <f>IFERROR(SUMIF(SRC_OPeX.$H$4:$H$500,AU$6,SRC_OPeX.$G$4:$G$500),0)</f>
        <v/>
      </c>
      <c r="AV17" s="70">
        <f>IFERROR(SUMIF(SRC_OPeX.$H$4:$H$500,AV$6,SRC_OPeX.$G$4:$G$500),0)</f>
        <v/>
      </c>
      <c r="AW17" s="70">
        <f>IFERROR(SUMIF(SRC_OPeX.$H$4:$H$500,AW$6,SRC_OPeX.$G$4:$G$500),0)</f>
        <v/>
      </c>
      <c r="AX17" s="70">
        <f>IFERROR(SUMIF(SRC_OPeX.$H$4:$H$500,AX$6,SRC_OPeX.$G$4:$G$500),0)</f>
        <v/>
      </c>
      <c r="AY17" s="71">
        <f>IFERROR(SUMIF(SRC_OPeX.$H$4:$H$500,AY$6,SRC_OPeX.$G$4:$G$500),0)</f>
        <v/>
      </c>
      <c r="AZ17" s="72">
        <f>IFERROR(SUMIF(SRC_OPeX.$H$4:$H$500,AZ$6,SRC_OPeX.$G$4:$G$500),0)</f>
        <v/>
      </c>
      <c r="BA17" s="70">
        <f>IFERROR(SUMIF(SRC_OPeX.$H$4:$H$500,BA$6,SRC_OPeX.$G$4:$G$500),0)</f>
        <v/>
      </c>
      <c r="BB17" s="70">
        <f>IFERROR(SUMIF(SRC_OPeX.$H$4:$H$500,BB$6,SRC_OPeX.$G$4:$G$500),0)</f>
        <v/>
      </c>
      <c r="BC17" s="70">
        <f>IFERROR(SUMIF(SRC_OPeX.$H$4:$H$500,BC$6,SRC_OPeX.$G$4:$G$500),0)</f>
        <v/>
      </c>
      <c r="BD17" s="70">
        <f>IFERROR(SUMIF(SRC_OPeX.$H$4:$H$500,BD$6,SRC_OPeX.$G$4:$G$500),0)</f>
        <v/>
      </c>
      <c r="BE17" s="70">
        <f>IFERROR(SUMIF(SRC_OPeX.$H$4:$H$500,BE$6,SRC_OPeX.$G$4:$G$500),0)</f>
        <v/>
      </c>
      <c r="BF17" s="71">
        <f>IFERROR(SUMIF(SRC_OPeX.$H$4:$H$500,BF$6,SRC_OPeX.$G$4:$G$500),0)</f>
        <v/>
      </c>
      <c r="BG17" s="72">
        <f>IFERROR(SUMIF(SRC_OPeX.$H$4:$H$500,BG$6,SRC_OPeX.$G$4:$G$500),0)</f>
        <v/>
      </c>
      <c r="BH17" s="70">
        <f>IFERROR(SUMIF(SRC_OPeX.$H$4:$H$500,BH$6,SRC_OPeX.$G$4:$G$500),0)</f>
        <v/>
      </c>
      <c r="BI17" s="70">
        <f>IFERROR(SUMIF(SRC_OPeX.$H$4:$H$500,BI$6,SRC_OPeX.$G$4:$G$500),0)</f>
        <v/>
      </c>
      <c r="BJ17" s="70">
        <f>IFERROR(SUMIF(SRC_OPeX.$H$4:$H$500,BJ$6,SRC_OPeX.$G$4:$G$500),0)</f>
        <v/>
      </c>
      <c r="BK17" s="70">
        <f>IFERROR(SUMIF(SRC_OPeX.$H$4:$H$500,BK$6,SRC_OPeX.$G$4:$G$500),0)</f>
        <v/>
      </c>
    </row>
    <row r="18">
      <c r="A18" s="68" t="inlineStr">
        <is>
          <t xml:space="preserve">  Capital Expenditures (CAPEX)</t>
        </is>
      </c>
      <c r="B18" s="52" t="n"/>
      <c r="C18" s="53" t="n"/>
      <c r="D18" s="70">
        <f>IFERROR(SUMIF(SRC_CAPEX.$H$4:$H$500,D$6,SRC_CAPEX.$G$4:$G$500),0)</f>
        <v/>
      </c>
      <c r="E18" s="70">
        <f>IFERROR(SUMIF(SRC_CAPEX.$H$4:$H$500,E$6,SRC_CAPEX.$G$4:$G$500),0)</f>
        <v/>
      </c>
      <c r="F18" s="70">
        <f>IFERROR(SUMIF(SRC_CAPEX.$H$4:$H$500,F$6,SRC_CAPEX.$G$4:$G$500),0)</f>
        <v/>
      </c>
      <c r="G18" s="70">
        <f>IFERROR(SUMIF(SRC_CAPEX.$H$4:$H$500,G$6,SRC_CAPEX.$G$4:$G$500),0)</f>
        <v/>
      </c>
      <c r="H18" s="70">
        <f>IFERROR(SUMIF(SRC_CAPEX.$H$4:$H$500,H$6,SRC_CAPEX.$G$4:$G$500),0)</f>
        <v/>
      </c>
      <c r="I18" s="71">
        <f>IFERROR(SUMIF(SRC_CAPEX.$H$4:$H$500,I$6,SRC_CAPEX.$G$4:$G$500),0)</f>
        <v/>
      </c>
      <c r="J18" s="72">
        <f>IFERROR(SUMIF(SRC_CAPEX.$H$4:$H$500,J$6,SRC_CAPEX.$G$4:$G$500),0)</f>
        <v/>
      </c>
      <c r="K18" s="70">
        <f>IFERROR(SUMIF(SRC_CAPEX.$H$4:$H$500,K$6,SRC_CAPEX.$G$4:$G$500),0)</f>
        <v/>
      </c>
      <c r="L18" s="70">
        <f>IFERROR(SUMIF(SRC_CAPEX.$H$4:$H$500,L$6,SRC_CAPEX.$G$4:$G$500),0)</f>
        <v/>
      </c>
      <c r="M18" s="70">
        <f>IFERROR(SUMIF(SRC_CAPEX.$H$4:$H$500,M$6,SRC_CAPEX.$G$4:$G$500),0)</f>
        <v/>
      </c>
      <c r="N18" s="70">
        <f>IFERROR(SUMIF(SRC_CAPEX.$H$4:$H$500,N$6,SRC_CAPEX.$G$4:$G$500),0)</f>
        <v/>
      </c>
      <c r="O18" s="70">
        <f>IFERROR(SUMIF(SRC_CAPEX.$H$4:$H$500,O$6,SRC_CAPEX.$G$4:$G$500),0)</f>
        <v/>
      </c>
      <c r="P18" s="71">
        <f>IFERROR(SUMIF(SRC_CAPEX.$H$4:$H$500,P$6,SRC_CAPEX.$G$4:$G$500),0)</f>
        <v/>
      </c>
      <c r="Q18" s="72">
        <f>IFERROR(SUMIF(SRC_CAPEX.$H$4:$H$500,Q$6,SRC_CAPEX.$G$4:$G$500),0)</f>
        <v/>
      </c>
      <c r="R18" s="70">
        <f>IFERROR(SUMIF(SRC_CAPEX.$H$4:$H$500,R$6,SRC_CAPEX.$G$4:$G$500),0)</f>
        <v/>
      </c>
      <c r="S18" s="70">
        <f>IFERROR(SUMIF(SRC_CAPEX.$H$4:$H$500,S$6,SRC_CAPEX.$G$4:$G$500),0)</f>
        <v/>
      </c>
      <c r="T18" s="70">
        <f>IFERROR(SUMIF(SRC_CAPEX.$H$4:$H$500,T$6,SRC_CAPEX.$G$4:$G$500),0)</f>
        <v/>
      </c>
      <c r="U18" s="70">
        <f>IFERROR(SUMIF(SRC_CAPEX.$H$4:$H$500,U$6,SRC_CAPEX.$G$4:$G$500),0)</f>
        <v/>
      </c>
      <c r="V18" s="70">
        <f>IFERROR(SUMIF(SRC_CAPEX.$H$4:$H$500,V$6,SRC_CAPEX.$G$4:$G$500),0)</f>
        <v/>
      </c>
      <c r="W18" s="71">
        <f>IFERROR(SUMIF(SRC_CAPEX.$H$4:$H$500,W$6,SRC_CAPEX.$G$4:$G$500),0)</f>
        <v/>
      </c>
      <c r="X18" s="72">
        <f>IFERROR(SUMIF(SRC_CAPEX.$H$4:$H$500,X$6,SRC_CAPEX.$G$4:$G$500),0)</f>
        <v/>
      </c>
      <c r="Y18" s="70">
        <f>IFERROR(SUMIF(SRC_CAPEX.$H$4:$H$500,Y$6,SRC_CAPEX.$G$4:$G$500),0)</f>
        <v/>
      </c>
      <c r="Z18" s="70">
        <f>IFERROR(SUMIF(SRC_CAPEX.$H$4:$H$500,Z$6,SRC_CAPEX.$G$4:$G$500),0)</f>
        <v/>
      </c>
      <c r="AA18" s="70">
        <f>IFERROR(SUMIF(SRC_CAPEX.$H$4:$H$500,AA$6,SRC_CAPEX.$G$4:$G$500),0)</f>
        <v/>
      </c>
      <c r="AB18" s="70">
        <f>IFERROR(SUMIF(SRC_CAPEX.$H$4:$H$500,AB$6,SRC_CAPEX.$G$4:$G$500),0)</f>
        <v/>
      </c>
      <c r="AC18" s="70">
        <f>IFERROR(SUMIF(SRC_CAPEX.$H$4:$H$500,AC$6,SRC_CAPEX.$G$4:$G$500),0)</f>
        <v/>
      </c>
      <c r="AD18" s="71">
        <f>IFERROR(SUMIF(SRC_CAPEX.$H$4:$H$500,AD$6,SRC_CAPEX.$G$4:$G$500),0)</f>
        <v/>
      </c>
      <c r="AE18" s="72">
        <f>IFERROR(SUMIF(SRC_CAPEX.$H$4:$H$500,AE$6,SRC_CAPEX.$G$4:$G$500),0)</f>
        <v/>
      </c>
      <c r="AF18" s="70">
        <f>IFERROR(SUMIF(SRC_CAPEX.$H$4:$H$500,AF$6,SRC_CAPEX.$G$4:$G$500),0)</f>
        <v/>
      </c>
      <c r="AG18" s="70">
        <f>IFERROR(SUMIF(SRC_CAPEX.$H$4:$H$500,AG$6,SRC_CAPEX.$G$4:$G$500),0)</f>
        <v/>
      </c>
      <c r="AH18" s="70">
        <f>IFERROR(SUMIF(SRC_CAPEX.$H$4:$H$500,AH$6,SRC_CAPEX.$G$4:$G$500),0)</f>
        <v/>
      </c>
      <c r="AI18" s="70">
        <f>IFERROR(SUMIF(SRC_CAPEX.$H$4:$H$500,AI$6,SRC_CAPEX.$G$4:$G$500),0)</f>
        <v/>
      </c>
      <c r="AJ18" s="70">
        <f>IFERROR(SUMIF(SRC_CAPEX.$H$4:$H$500,AJ$6,SRC_CAPEX.$G$4:$G$500),0)</f>
        <v/>
      </c>
      <c r="AK18" s="71">
        <f>IFERROR(SUMIF(SRC_CAPEX.$H$4:$H$500,AK$6,SRC_CAPEX.$G$4:$G$500),0)</f>
        <v/>
      </c>
      <c r="AL18" s="72">
        <f>IFERROR(SUMIF(SRC_CAPEX.$H$4:$H$500,AL$6,SRC_CAPEX.$G$4:$G$500),0)</f>
        <v/>
      </c>
      <c r="AM18" s="70">
        <f>IFERROR(SUMIF(SRC_CAPEX.$H$4:$H$500,AM$6,SRC_CAPEX.$G$4:$G$500),0)</f>
        <v/>
      </c>
      <c r="AN18" s="70">
        <f>IFERROR(SUMIF(SRC_CAPEX.$H$4:$H$500,AN$6,SRC_CAPEX.$G$4:$G$500),0)</f>
        <v/>
      </c>
      <c r="AO18" s="70">
        <f>IFERROR(SUMIF(SRC_CAPEX.$H$4:$H$500,AO$6,SRC_CAPEX.$G$4:$G$500),0)</f>
        <v/>
      </c>
      <c r="AP18" s="70">
        <f>IFERROR(SUMIF(SRC_CAPEX.$H$4:$H$500,AP$6,SRC_CAPEX.$G$4:$G$500),0)</f>
        <v/>
      </c>
      <c r="AQ18" s="70">
        <f>IFERROR(SUMIF(SRC_CAPEX.$H$4:$H$500,AQ$6,SRC_CAPEX.$G$4:$G$500),0)</f>
        <v/>
      </c>
      <c r="AR18" s="71">
        <f>IFERROR(SUMIF(SRC_CAPEX.$H$4:$H$500,AR$6,SRC_CAPEX.$G$4:$G$500),0)</f>
        <v/>
      </c>
      <c r="AS18" s="72">
        <f>IFERROR(SUMIF(SRC_CAPEX.$H$4:$H$500,AS$6,SRC_CAPEX.$G$4:$G$500),0)</f>
        <v/>
      </c>
      <c r="AT18" s="70">
        <f>IFERROR(SUMIF(SRC_CAPEX.$H$4:$H$500,AT$6,SRC_CAPEX.$G$4:$G$500),0)</f>
        <v/>
      </c>
      <c r="AU18" s="70">
        <f>IFERROR(SUMIF(SRC_CAPEX.$H$4:$H$500,AU$6,SRC_CAPEX.$G$4:$G$500),0)</f>
        <v/>
      </c>
      <c r="AV18" s="70">
        <f>IFERROR(SUMIF(SRC_CAPEX.$H$4:$H$500,AV$6,SRC_CAPEX.$G$4:$G$500),0)</f>
        <v/>
      </c>
      <c r="AW18" s="70">
        <f>IFERROR(SUMIF(SRC_CAPEX.$H$4:$H$500,AW$6,SRC_CAPEX.$G$4:$G$500),0)</f>
        <v/>
      </c>
      <c r="AX18" s="70">
        <f>IFERROR(SUMIF(SRC_CAPEX.$H$4:$H$500,AX$6,SRC_CAPEX.$G$4:$G$500),0)</f>
        <v/>
      </c>
      <c r="AY18" s="71">
        <f>IFERROR(SUMIF(SRC_CAPEX.$H$4:$H$500,AY$6,SRC_CAPEX.$G$4:$G$500),0)</f>
        <v/>
      </c>
      <c r="AZ18" s="72">
        <f>IFERROR(SUMIF(SRC_CAPEX.$H$4:$H$500,AZ$6,SRC_CAPEX.$G$4:$G$500),0)</f>
        <v/>
      </c>
      <c r="BA18" s="70">
        <f>IFERROR(SUMIF(SRC_CAPEX.$H$4:$H$500,BA$6,SRC_CAPEX.$G$4:$G$500),0)</f>
        <v/>
      </c>
      <c r="BB18" s="70">
        <f>IFERROR(SUMIF(SRC_CAPEX.$H$4:$H$500,BB$6,SRC_CAPEX.$G$4:$G$500),0)</f>
        <v/>
      </c>
      <c r="BC18" s="70">
        <f>IFERROR(SUMIF(SRC_CAPEX.$H$4:$H$500,BC$6,SRC_CAPEX.$G$4:$G$500),0)</f>
        <v/>
      </c>
      <c r="BD18" s="70">
        <f>IFERROR(SUMIF(SRC_CAPEX.$H$4:$H$500,BD$6,SRC_CAPEX.$G$4:$G$500),0)</f>
        <v/>
      </c>
      <c r="BE18" s="70">
        <f>IFERROR(SUMIF(SRC_CAPEX.$H$4:$H$500,BE$6,SRC_CAPEX.$G$4:$G$500),0)</f>
        <v/>
      </c>
      <c r="BF18" s="71">
        <f>IFERROR(SUMIF(SRC_CAPEX.$H$4:$H$500,BF$6,SRC_CAPEX.$G$4:$G$500),0)</f>
        <v/>
      </c>
      <c r="BG18" s="72">
        <f>IFERROR(SUMIF(SRC_CAPEX.$H$4:$H$500,BG$6,SRC_CAPEX.$G$4:$G$500),0)</f>
        <v/>
      </c>
      <c r="BH18" s="70">
        <f>IFERROR(SUMIF(SRC_CAPEX.$H$4:$H$500,BH$6,SRC_CAPEX.$G$4:$G$500),0)</f>
        <v/>
      </c>
      <c r="BI18" s="70">
        <f>IFERROR(SUMIF(SRC_CAPEX.$H$4:$H$500,BI$6,SRC_CAPEX.$G$4:$G$500),0)</f>
        <v/>
      </c>
      <c r="BJ18" s="70">
        <f>IFERROR(SUMIF(SRC_CAPEX.$H$4:$H$500,BJ$6,SRC_CAPEX.$G$4:$G$500),0)</f>
        <v/>
      </c>
      <c r="BK18" s="70">
        <f>IFERROR(SUMIF(SRC_CAPEX.$H$4:$H$500,BK$6,SRC_CAPEX.$G$4:$G$500),0)</f>
        <v/>
      </c>
    </row>
    <row r="19">
      <c r="A19" s="68" t="inlineStr">
        <is>
          <t xml:space="preserve">  Human Resources (Payroll)</t>
        </is>
      </c>
      <c r="B19" s="52" t="n"/>
      <c r="C19" s="53" t="n"/>
      <c r="D19" s="70">
        <f>IFERROR(SUMIF(SRC_HR.$H$4:$H$500,D$6,SRC_HR.$G$4:$G$500),0)</f>
        <v/>
      </c>
      <c r="E19" s="70">
        <f>IFERROR(SUMIF(SRC_HR.$H$4:$H$500,E$6,SRC_HR.$G$4:$G$500),0)</f>
        <v/>
      </c>
      <c r="F19" s="70">
        <f>IFERROR(SUMIF(SRC_HR.$H$4:$H$500,F$6,SRC_HR.$G$4:$G$500),0)</f>
        <v/>
      </c>
      <c r="G19" s="70">
        <f>IFERROR(SUMIF(SRC_HR.$H$4:$H$500,G$6,SRC_HR.$G$4:$G$500),0)</f>
        <v/>
      </c>
      <c r="H19" s="70">
        <f>IFERROR(SUMIF(SRC_HR.$H$4:$H$500,H$6,SRC_HR.$G$4:$G$500),0)</f>
        <v/>
      </c>
      <c r="I19" s="71">
        <f>IFERROR(SUMIF(SRC_HR.$H$4:$H$500,I$6,SRC_HR.$G$4:$G$500),0)</f>
        <v/>
      </c>
      <c r="J19" s="72">
        <f>IFERROR(SUMIF(SRC_HR.$H$4:$H$500,J$6,SRC_HR.$G$4:$G$500),0)</f>
        <v/>
      </c>
      <c r="K19" s="70">
        <f>IFERROR(SUMIF(SRC_HR.$H$4:$H$500,K$6,SRC_HR.$G$4:$G$500),0)</f>
        <v/>
      </c>
      <c r="L19" s="70">
        <f>IFERROR(SUMIF(SRC_HR.$H$4:$H$500,L$6,SRC_HR.$G$4:$G$500),0)</f>
        <v/>
      </c>
      <c r="M19" s="70">
        <f>IFERROR(SUMIF(SRC_HR.$H$4:$H$500,M$6,SRC_HR.$G$4:$G$500),0)</f>
        <v/>
      </c>
      <c r="N19" s="70">
        <f>IFERROR(SUMIF(SRC_HR.$H$4:$H$500,N$6,SRC_HR.$G$4:$G$500),0)</f>
        <v/>
      </c>
      <c r="O19" s="70">
        <f>IFERROR(SUMIF(SRC_HR.$H$4:$H$500,O$6,SRC_HR.$G$4:$G$500),0)</f>
        <v/>
      </c>
      <c r="P19" s="71">
        <f>IFERROR(SUMIF(SRC_HR.$H$4:$H$500,P$6,SRC_HR.$G$4:$G$500),0)</f>
        <v/>
      </c>
      <c r="Q19" s="72">
        <f>IFERROR(SUMIF(SRC_HR.$H$4:$H$500,Q$6,SRC_HR.$G$4:$G$500),0)</f>
        <v/>
      </c>
      <c r="R19" s="70">
        <f>IFERROR(SUMIF(SRC_HR.$H$4:$H$500,R$6,SRC_HR.$G$4:$G$500),0)</f>
        <v/>
      </c>
      <c r="S19" s="70">
        <f>IFERROR(SUMIF(SRC_HR.$H$4:$H$500,S$6,SRC_HR.$G$4:$G$500),0)</f>
        <v/>
      </c>
      <c r="T19" s="70">
        <f>IFERROR(SUMIF(SRC_HR.$H$4:$H$500,T$6,SRC_HR.$G$4:$G$500),0)</f>
        <v/>
      </c>
      <c r="U19" s="70">
        <f>IFERROR(SUMIF(SRC_HR.$H$4:$H$500,U$6,SRC_HR.$G$4:$G$500),0)</f>
        <v/>
      </c>
      <c r="V19" s="70">
        <f>IFERROR(SUMIF(SRC_HR.$H$4:$H$500,V$6,SRC_HR.$G$4:$G$500),0)</f>
        <v/>
      </c>
      <c r="W19" s="71">
        <f>IFERROR(SUMIF(SRC_HR.$H$4:$H$500,W$6,SRC_HR.$G$4:$G$500),0)</f>
        <v/>
      </c>
      <c r="X19" s="72">
        <f>IFERROR(SUMIF(SRC_HR.$H$4:$H$500,X$6,SRC_HR.$G$4:$G$500),0)</f>
        <v/>
      </c>
      <c r="Y19" s="70">
        <f>IFERROR(SUMIF(SRC_HR.$H$4:$H$500,Y$6,SRC_HR.$G$4:$G$500),0)</f>
        <v/>
      </c>
      <c r="Z19" s="70">
        <f>IFERROR(SUMIF(SRC_HR.$H$4:$H$500,Z$6,SRC_HR.$G$4:$G$500),0)</f>
        <v/>
      </c>
      <c r="AA19" s="70">
        <f>IFERROR(SUMIF(SRC_HR.$H$4:$H$500,AA$6,SRC_HR.$G$4:$G$500),0)</f>
        <v/>
      </c>
      <c r="AB19" s="70">
        <f>IFERROR(SUMIF(SRC_HR.$H$4:$H$500,AB$6,SRC_HR.$G$4:$G$500),0)</f>
        <v/>
      </c>
      <c r="AC19" s="70">
        <f>IFERROR(SUMIF(SRC_HR.$H$4:$H$500,AC$6,SRC_HR.$G$4:$G$500),0)</f>
        <v/>
      </c>
      <c r="AD19" s="71">
        <f>IFERROR(SUMIF(SRC_HR.$H$4:$H$500,AD$6,SRC_HR.$G$4:$G$500),0)</f>
        <v/>
      </c>
      <c r="AE19" s="72">
        <f>IFERROR(SUMIF(SRC_HR.$H$4:$H$500,AE$6,SRC_HR.$G$4:$G$500),0)</f>
        <v/>
      </c>
      <c r="AF19" s="70">
        <f>IFERROR(SUMIF(SRC_HR.$H$4:$H$500,AF$6,SRC_HR.$G$4:$G$500),0)</f>
        <v/>
      </c>
      <c r="AG19" s="70">
        <f>IFERROR(SUMIF(SRC_HR.$H$4:$H$500,AG$6,SRC_HR.$G$4:$G$500),0)</f>
        <v/>
      </c>
      <c r="AH19" s="70">
        <f>IFERROR(SUMIF(SRC_HR.$H$4:$H$500,AH$6,SRC_HR.$G$4:$G$500),0)</f>
        <v/>
      </c>
      <c r="AI19" s="70">
        <f>IFERROR(SUMIF(SRC_HR.$H$4:$H$500,AI$6,SRC_HR.$G$4:$G$500),0)</f>
        <v/>
      </c>
      <c r="AJ19" s="70">
        <f>IFERROR(SUMIF(SRC_HR.$H$4:$H$500,AJ$6,SRC_HR.$G$4:$G$500),0)</f>
        <v/>
      </c>
      <c r="AK19" s="71">
        <f>IFERROR(SUMIF(SRC_HR.$H$4:$H$500,AK$6,SRC_HR.$G$4:$G$500),0)</f>
        <v/>
      </c>
      <c r="AL19" s="72">
        <f>IFERROR(SUMIF(SRC_HR.$H$4:$H$500,AL$6,SRC_HR.$G$4:$G$500),0)</f>
        <v/>
      </c>
      <c r="AM19" s="70">
        <f>IFERROR(SUMIF(SRC_HR.$H$4:$H$500,AM$6,SRC_HR.$G$4:$G$500),0)</f>
        <v/>
      </c>
      <c r="AN19" s="70">
        <f>IFERROR(SUMIF(SRC_HR.$H$4:$H$500,AN$6,SRC_HR.$G$4:$G$500),0)</f>
        <v/>
      </c>
      <c r="AO19" s="70">
        <f>IFERROR(SUMIF(SRC_HR.$H$4:$H$500,AO$6,SRC_HR.$G$4:$G$500),0)</f>
        <v/>
      </c>
      <c r="AP19" s="70">
        <f>IFERROR(SUMIF(SRC_HR.$H$4:$H$500,AP$6,SRC_HR.$G$4:$G$500),0)</f>
        <v/>
      </c>
      <c r="AQ19" s="70">
        <f>IFERROR(SUMIF(SRC_HR.$H$4:$H$500,AQ$6,SRC_HR.$G$4:$G$500),0)</f>
        <v/>
      </c>
      <c r="AR19" s="71">
        <f>IFERROR(SUMIF(SRC_HR.$H$4:$H$500,AR$6,SRC_HR.$G$4:$G$500),0)</f>
        <v/>
      </c>
      <c r="AS19" s="72">
        <f>IFERROR(SUMIF(SRC_HR.$H$4:$H$500,AS$6,SRC_HR.$G$4:$G$500),0)</f>
        <v/>
      </c>
      <c r="AT19" s="70">
        <f>IFERROR(SUMIF(SRC_HR.$H$4:$H$500,AT$6,SRC_HR.$G$4:$G$500),0)</f>
        <v/>
      </c>
      <c r="AU19" s="70">
        <f>IFERROR(SUMIF(SRC_HR.$H$4:$H$500,AU$6,SRC_HR.$G$4:$G$500),0)</f>
        <v/>
      </c>
      <c r="AV19" s="70">
        <f>IFERROR(SUMIF(SRC_HR.$H$4:$H$500,AV$6,SRC_HR.$G$4:$G$500),0)</f>
        <v/>
      </c>
      <c r="AW19" s="70">
        <f>IFERROR(SUMIF(SRC_HR.$H$4:$H$500,AW$6,SRC_HR.$G$4:$G$500),0)</f>
        <v/>
      </c>
      <c r="AX19" s="70">
        <f>IFERROR(SUMIF(SRC_HR.$H$4:$H$500,AX$6,SRC_HR.$G$4:$G$500),0)</f>
        <v/>
      </c>
      <c r="AY19" s="71">
        <f>IFERROR(SUMIF(SRC_HR.$H$4:$H$500,AY$6,SRC_HR.$G$4:$G$500),0)</f>
        <v/>
      </c>
      <c r="AZ19" s="72">
        <f>IFERROR(SUMIF(SRC_HR.$H$4:$H$500,AZ$6,SRC_HR.$G$4:$G$500),0)</f>
        <v/>
      </c>
      <c r="BA19" s="70">
        <f>IFERROR(SUMIF(SRC_HR.$H$4:$H$500,BA$6,SRC_HR.$G$4:$G$500),0)</f>
        <v/>
      </c>
      <c r="BB19" s="70">
        <f>IFERROR(SUMIF(SRC_HR.$H$4:$H$500,BB$6,SRC_HR.$G$4:$G$500),0)</f>
        <v/>
      </c>
      <c r="BC19" s="70">
        <f>IFERROR(SUMIF(SRC_HR.$H$4:$H$500,BC$6,SRC_HR.$G$4:$G$500),0)</f>
        <v/>
      </c>
      <c r="BD19" s="70">
        <f>IFERROR(SUMIF(SRC_HR.$H$4:$H$500,BD$6,SRC_HR.$G$4:$G$500),0)</f>
        <v/>
      </c>
      <c r="BE19" s="70">
        <f>IFERROR(SUMIF(SRC_HR.$H$4:$H$500,BE$6,SRC_HR.$G$4:$G$500),0)</f>
        <v/>
      </c>
      <c r="BF19" s="71">
        <f>IFERROR(SUMIF(SRC_HR.$H$4:$H$500,BF$6,SRC_HR.$G$4:$G$500),0)</f>
        <v/>
      </c>
      <c r="BG19" s="72">
        <f>IFERROR(SUMIF(SRC_HR.$H$4:$H$500,BG$6,SRC_HR.$G$4:$G$500),0)</f>
        <v/>
      </c>
      <c r="BH19" s="70">
        <f>IFERROR(SUMIF(SRC_HR.$H$4:$H$500,BH$6,SRC_HR.$G$4:$G$500),0)</f>
        <v/>
      </c>
      <c r="BI19" s="70">
        <f>IFERROR(SUMIF(SRC_HR.$H$4:$H$500,BI$6,SRC_HR.$G$4:$G$500),0)</f>
        <v/>
      </c>
      <c r="BJ19" s="70">
        <f>IFERROR(SUMIF(SRC_HR.$H$4:$H$500,BJ$6,SRC_HR.$G$4:$G$500),0)</f>
        <v/>
      </c>
      <c r="BK19" s="70">
        <f>IFERROR(SUMIF(SRC_HR.$H$4:$H$500,BK$6,SRC_HR.$G$4:$G$500),0)</f>
        <v/>
      </c>
    </row>
    <row r="20">
      <c r="A20" s="68" t="inlineStr">
        <is>
          <t xml:space="preserve">  Debt Service &amp; Loans</t>
        </is>
      </c>
      <c r="B20" s="52" t="n"/>
      <c r="C20" s="53" t="n"/>
      <c r="D20" s="70">
        <f>IFERROR(SUMIF(SRC_Debt.$I$4:$I$500,D$6,SRC_Debt.$H$4:$H$500),0)</f>
        <v/>
      </c>
      <c r="E20" s="70">
        <f>IFERROR(SUMIF(SRC_Debt.$I$4:$I$500,E$6,SRC_Debt.$H$4:$H$500),0)</f>
        <v/>
      </c>
      <c r="F20" s="70">
        <f>IFERROR(SUMIF(SRC_Debt.$I$4:$I$500,F$6,SRC_Debt.$H$4:$H$500),0)</f>
        <v/>
      </c>
      <c r="G20" s="70">
        <f>IFERROR(SUMIF(SRC_Debt.$I$4:$I$500,G$6,SRC_Debt.$H$4:$H$500),0)</f>
        <v/>
      </c>
      <c r="H20" s="70">
        <f>IFERROR(SUMIF(SRC_Debt.$I$4:$I$500,H$6,SRC_Debt.$H$4:$H$500),0)</f>
        <v/>
      </c>
      <c r="I20" s="71">
        <f>IFERROR(SUMIF(SRC_Debt.$I$4:$I$500,I$6,SRC_Debt.$H$4:$H$500),0)</f>
        <v/>
      </c>
      <c r="J20" s="72">
        <f>IFERROR(SUMIF(SRC_Debt.$I$4:$I$500,J$6,SRC_Debt.$H$4:$H$500),0)</f>
        <v/>
      </c>
      <c r="K20" s="70">
        <f>IFERROR(SUMIF(SRC_Debt.$I$4:$I$500,K$6,SRC_Debt.$H$4:$H$500),0)</f>
        <v/>
      </c>
      <c r="L20" s="70">
        <f>IFERROR(SUMIF(SRC_Debt.$I$4:$I$500,L$6,SRC_Debt.$H$4:$H$500),0)</f>
        <v/>
      </c>
      <c r="M20" s="70">
        <f>IFERROR(SUMIF(SRC_Debt.$I$4:$I$500,M$6,SRC_Debt.$H$4:$H$500),0)</f>
        <v/>
      </c>
      <c r="N20" s="70">
        <f>IFERROR(SUMIF(SRC_Debt.$I$4:$I$500,N$6,SRC_Debt.$H$4:$H$500),0)</f>
        <v/>
      </c>
      <c r="O20" s="70">
        <f>IFERROR(SUMIF(SRC_Debt.$I$4:$I$500,O$6,SRC_Debt.$H$4:$H$500),0)</f>
        <v/>
      </c>
      <c r="P20" s="71">
        <f>IFERROR(SUMIF(SRC_Debt.$I$4:$I$500,P$6,SRC_Debt.$H$4:$H$500),0)</f>
        <v/>
      </c>
      <c r="Q20" s="72">
        <f>IFERROR(SUMIF(SRC_Debt.$I$4:$I$500,Q$6,SRC_Debt.$H$4:$H$500),0)</f>
        <v/>
      </c>
      <c r="R20" s="70">
        <f>IFERROR(SUMIF(SRC_Debt.$I$4:$I$500,R$6,SRC_Debt.$H$4:$H$500),0)</f>
        <v/>
      </c>
      <c r="S20" s="70">
        <f>IFERROR(SUMIF(SRC_Debt.$I$4:$I$500,S$6,SRC_Debt.$H$4:$H$500),0)</f>
        <v/>
      </c>
      <c r="T20" s="70">
        <f>IFERROR(SUMIF(SRC_Debt.$I$4:$I$500,T$6,SRC_Debt.$H$4:$H$500),0)</f>
        <v/>
      </c>
      <c r="U20" s="70">
        <f>IFERROR(SUMIF(SRC_Debt.$I$4:$I$500,U$6,SRC_Debt.$H$4:$H$500),0)</f>
        <v/>
      </c>
      <c r="V20" s="70">
        <f>IFERROR(SUMIF(SRC_Debt.$I$4:$I$500,V$6,SRC_Debt.$H$4:$H$500),0)</f>
        <v/>
      </c>
      <c r="W20" s="71">
        <f>IFERROR(SUMIF(SRC_Debt.$I$4:$I$500,W$6,SRC_Debt.$H$4:$H$500),0)</f>
        <v/>
      </c>
      <c r="X20" s="72">
        <f>IFERROR(SUMIF(SRC_Debt.$I$4:$I$500,X$6,SRC_Debt.$H$4:$H$500),0)</f>
        <v/>
      </c>
      <c r="Y20" s="70">
        <f>IFERROR(SUMIF(SRC_Debt.$I$4:$I$500,Y$6,SRC_Debt.$H$4:$H$500),0)</f>
        <v/>
      </c>
      <c r="Z20" s="70">
        <f>IFERROR(SUMIF(SRC_Debt.$I$4:$I$500,Z$6,SRC_Debt.$H$4:$H$500),0)</f>
        <v/>
      </c>
      <c r="AA20" s="70">
        <f>IFERROR(SUMIF(SRC_Debt.$I$4:$I$500,AA$6,SRC_Debt.$H$4:$H$500),0)</f>
        <v/>
      </c>
      <c r="AB20" s="70">
        <f>IFERROR(SUMIF(SRC_Debt.$I$4:$I$500,AB$6,SRC_Debt.$H$4:$H$500),0)</f>
        <v/>
      </c>
      <c r="AC20" s="70">
        <f>IFERROR(SUMIF(SRC_Debt.$I$4:$I$500,AC$6,SRC_Debt.$H$4:$H$500),0)</f>
        <v/>
      </c>
      <c r="AD20" s="71">
        <f>IFERROR(SUMIF(SRC_Debt.$I$4:$I$500,AD$6,SRC_Debt.$H$4:$H$500),0)</f>
        <v/>
      </c>
      <c r="AE20" s="72">
        <f>IFERROR(SUMIF(SRC_Debt.$I$4:$I$500,AE$6,SRC_Debt.$H$4:$H$500),0)</f>
        <v/>
      </c>
      <c r="AF20" s="70">
        <f>IFERROR(SUMIF(SRC_Debt.$I$4:$I$500,AF$6,SRC_Debt.$H$4:$H$500),0)</f>
        <v/>
      </c>
      <c r="AG20" s="70">
        <f>IFERROR(SUMIF(SRC_Debt.$I$4:$I$500,AG$6,SRC_Debt.$H$4:$H$500),0)</f>
        <v/>
      </c>
      <c r="AH20" s="70">
        <f>IFERROR(SUMIF(SRC_Debt.$I$4:$I$500,AH$6,SRC_Debt.$H$4:$H$500),0)</f>
        <v/>
      </c>
      <c r="AI20" s="70">
        <f>IFERROR(SUMIF(SRC_Debt.$I$4:$I$500,AI$6,SRC_Debt.$H$4:$H$500),0)</f>
        <v/>
      </c>
      <c r="AJ20" s="70">
        <f>IFERROR(SUMIF(SRC_Debt.$I$4:$I$500,AJ$6,SRC_Debt.$H$4:$H$500),0)</f>
        <v/>
      </c>
      <c r="AK20" s="71">
        <f>IFERROR(SUMIF(SRC_Debt.$I$4:$I$500,AK$6,SRC_Debt.$H$4:$H$500),0)</f>
        <v/>
      </c>
      <c r="AL20" s="72">
        <f>IFERROR(SUMIF(SRC_Debt.$I$4:$I$500,AL$6,SRC_Debt.$H$4:$H$500),0)</f>
        <v/>
      </c>
      <c r="AM20" s="70">
        <f>IFERROR(SUMIF(SRC_Debt.$I$4:$I$500,AM$6,SRC_Debt.$H$4:$H$500),0)</f>
        <v/>
      </c>
      <c r="AN20" s="70">
        <f>IFERROR(SUMIF(SRC_Debt.$I$4:$I$500,AN$6,SRC_Debt.$H$4:$H$500),0)</f>
        <v/>
      </c>
      <c r="AO20" s="70">
        <f>IFERROR(SUMIF(SRC_Debt.$I$4:$I$500,AO$6,SRC_Debt.$H$4:$H$500),0)</f>
        <v/>
      </c>
      <c r="AP20" s="70">
        <f>IFERROR(SUMIF(SRC_Debt.$I$4:$I$500,AP$6,SRC_Debt.$H$4:$H$500),0)</f>
        <v/>
      </c>
      <c r="AQ20" s="70">
        <f>IFERROR(SUMIF(SRC_Debt.$I$4:$I$500,AQ$6,SRC_Debt.$H$4:$H$500),0)</f>
        <v/>
      </c>
      <c r="AR20" s="71">
        <f>IFERROR(SUMIF(SRC_Debt.$I$4:$I$500,AR$6,SRC_Debt.$H$4:$H$500),0)</f>
        <v/>
      </c>
      <c r="AS20" s="72">
        <f>IFERROR(SUMIF(SRC_Debt.$I$4:$I$500,AS$6,SRC_Debt.$H$4:$H$500),0)</f>
        <v/>
      </c>
      <c r="AT20" s="70">
        <f>IFERROR(SUMIF(SRC_Debt.$I$4:$I$500,AT$6,SRC_Debt.$H$4:$H$500),0)</f>
        <v/>
      </c>
      <c r="AU20" s="70">
        <f>IFERROR(SUMIF(SRC_Debt.$I$4:$I$500,AU$6,SRC_Debt.$H$4:$H$500),0)</f>
        <v/>
      </c>
      <c r="AV20" s="70">
        <f>IFERROR(SUMIF(SRC_Debt.$I$4:$I$500,AV$6,SRC_Debt.$H$4:$H$500),0)</f>
        <v/>
      </c>
      <c r="AW20" s="70">
        <f>IFERROR(SUMIF(SRC_Debt.$I$4:$I$500,AW$6,SRC_Debt.$H$4:$H$500),0)</f>
        <v/>
      </c>
      <c r="AX20" s="70">
        <f>IFERROR(SUMIF(SRC_Debt.$I$4:$I$500,AX$6,SRC_Debt.$H$4:$H$500),0)</f>
        <v/>
      </c>
      <c r="AY20" s="71">
        <f>IFERROR(SUMIF(SRC_Debt.$I$4:$I$500,AY$6,SRC_Debt.$H$4:$H$500),0)</f>
        <v/>
      </c>
      <c r="AZ20" s="72">
        <f>IFERROR(SUMIF(SRC_Debt.$I$4:$I$500,AZ$6,SRC_Debt.$H$4:$H$500),0)</f>
        <v/>
      </c>
      <c r="BA20" s="70">
        <f>IFERROR(SUMIF(SRC_Debt.$I$4:$I$500,BA$6,SRC_Debt.$H$4:$H$500),0)</f>
        <v/>
      </c>
      <c r="BB20" s="70">
        <f>IFERROR(SUMIF(SRC_Debt.$I$4:$I$500,BB$6,SRC_Debt.$H$4:$H$500),0)</f>
        <v/>
      </c>
      <c r="BC20" s="70">
        <f>IFERROR(SUMIF(SRC_Debt.$I$4:$I$500,BC$6,SRC_Debt.$H$4:$H$500),0)</f>
        <v/>
      </c>
      <c r="BD20" s="70">
        <f>IFERROR(SUMIF(SRC_Debt.$I$4:$I$500,BD$6,SRC_Debt.$H$4:$H$500),0)</f>
        <v/>
      </c>
      <c r="BE20" s="70">
        <f>IFERROR(SUMIF(SRC_Debt.$I$4:$I$500,BE$6,SRC_Debt.$H$4:$H$500),0)</f>
        <v/>
      </c>
      <c r="BF20" s="71">
        <f>IFERROR(SUMIF(SRC_Debt.$I$4:$I$500,BF$6,SRC_Debt.$H$4:$H$500),0)</f>
        <v/>
      </c>
      <c r="BG20" s="72">
        <f>IFERROR(SUMIF(SRC_Debt.$I$4:$I$500,BG$6,SRC_Debt.$H$4:$H$500),0)</f>
        <v/>
      </c>
      <c r="BH20" s="70">
        <f>IFERROR(SUMIF(SRC_Debt.$I$4:$I$500,BH$6,SRC_Debt.$H$4:$H$500),0)</f>
        <v/>
      </c>
      <c r="BI20" s="70">
        <f>IFERROR(SUMIF(SRC_Debt.$I$4:$I$500,BI$6,SRC_Debt.$H$4:$H$500),0)</f>
        <v/>
      </c>
      <c r="BJ20" s="70">
        <f>IFERROR(SUMIF(SRC_Debt.$I$4:$I$500,BJ$6,SRC_Debt.$H$4:$H$500),0)</f>
        <v/>
      </c>
      <c r="BK20" s="70">
        <f>IFERROR(SUMIF(SRC_Debt.$I$4:$I$500,BK$6,SRC_Debt.$H$4:$H$500),0)</f>
        <v/>
      </c>
    </row>
    <row r="21">
      <c r="A21" s="68" t="inlineStr">
        <is>
          <t xml:space="preserve">  Fixed Expenses</t>
        </is>
      </c>
      <c r="B21" s="52" t="n"/>
      <c r="C21" s="53" t="n"/>
      <c r="D21" s="70">
        <f>IFERROR(SUMIF(SRC_Fixed.$H$4:$H$500,D$6,SRC_Fixed.$G$4:$G$500),0)</f>
        <v/>
      </c>
      <c r="E21" s="70">
        <f>IFERROR(SUMIF(SRC_Fixed.$H$4:$H$500,E$6,SRC_Fixed.$G$4:$G$500),0)</f>
        <v/>
      </c>
      <c r="F21" s="70">
        <f>IFERROR(SUMIF(SRC_Fixed.$H$4:$H$500,F$6,SRC_Fixed.$G$4:$G$500),0)</f>
        <v/>
      </c>
      <c r="G21" s="70">
        <f>IFERROR(SUMIF(SRC_Fixed.$H$4:$H$500,G$6,SRC_Fixed.$G$4:$G$500),0)</f>
        <v/>
      </c>
      <c r="H21" s="70">
        <f>IFERROR(SUMIF(SRC_Fixed.$H$4:$H$500,H$6,SRC_Fixed.$G$4:$G$500),0)</f>
        <v/>
      </c>
      <c r="I21" s="71">
        <f>IFERROR(SUMIF(SRC_Fixed.$H$4:$H$500,I$6,SRC_Fixed.$G$4:$G$500),0)</f>
        <v/>
      </c>
      <c r="J21" s="72">
        <f>IFERROR(SUMIF(SRC_Fixed.$H$4:$H$500,J$6,SRC_Fixed.$G$4:$G$500),0)</f>
        <v/>
      </c>
      <c r="K21" s="70">
        <f>IFERROR(SUMIF(SRC_Fixed.$H$4:$H$500,K$6,SRC_Fixed.$G$4:$G$500),0)</f>
        <v/>
      </c>
      <c r="L21" s="70">
        <f>IFERROR(SUMIF(SRC_Fixed.$H$4:$H$500,L$6,SRC_Fixed.$G$4:$G$500),0)</f>
        <v/>
      </c>
      <c r="M21" s="70">
        <f>IFERROR(SUMIF(SRC_Fixed.$H$4:$H$500,M$6,SRC_Fixed.$G$4:$G$500),0)</f>
        <v/>
      </c>
      <c r="N21" s="70">
        <f>IFERROR(SUMIF(SRC_Fixed.$H$4:$H$500,N$6,SRC_Fixed.$G$4:$G$500),0)</f>
        <v/>
      </c>
      <c r="O21" s="70">
        <f>IFERROR(SUMIF(SRC_Fixed.$H$4:$H$500,O$6,SRC_Fixed.$G$4:$G$500),0)</f>
        <v/>
      </c>
      <c r="P21" s="71">
        <f>IFERROR(SUMIF(SRC_Fixed.$H$4:$H$500,P$6,SRC_Fixed.$G$4:$G$500),0)</f>
        <v/>
      </c>
      <c r="Q21" s="72">
        <f>IFERROR(SUMIF(SRC_Fixed.$H$4:$H$500,Q$6,SRC_Fixed.$G$4:$G$500),0)</f>
        <v/>
      </c>
      <c r="R21" s="70">
        <f>IFERROR(SUMIF(SRC_Fixed.$H$4:$H$500,R$6,SRC_Fixed.$G$4:$G$500),0)</f>
        <v/>
      </c>
      <c r="S21" s="70">
        <f>IFERROR(SUMIF(SRC_Fixed.$H$4:$H$500,S$6,SRC_Fixed.$G$4:$G$500),0)</f>
        <v/>
      </c>
      <c r="T21" s="70">
        <f>IFERROR(SUMIF(SRC_Fixed.$H$4:$H$500,T$6,SRC_Fixed.$G$4:$G$500),0)</f>
        <v/>
      </c>
      <c r="U21" s="70">
        <f>IFERROR(SUMIF(SRC_Fixed.$H$4:$H$500,U$6,SRC_Fixed.$G$4:$G$500),0)</f>
        <v/>
      </c>
      <c r="V21" s="70">
        <f>IFERROR(SUMIF(SRC_Fixed.$H$4:$H$500,V$6,SRC_Fixed.$G$4:$G$500),0)</f>
        <v/>
      </c>
      <c r="W21" s="71">
        <f>IFERROR(SUMIF(SRC_Fixed.$H$4:$H$500,W$6,SRC_Fixed.$G$4:$G$500),0)</f>
        <v/>
      </c>
      <c r="X21" s="72">
        <f>IFERROR(SUMIF(SRC_Fixed.$H$4:$H$500,X$6,SRC_Fixed.$G$4:$G$500),0)</f>
        <v/>
      </c>
      <c r="Y21" s="70">
        <f>IFERROR(SUMIF(SRC_Fixed.$H$4:$H$500,Y$6,SRC_Fixed.$G$4:$G$500),0)</f>
        <v/>
      </c>
      <c r="Z21" s="70">
        <f>IFERROR(SUMIF(SRC_Fixed.$H$4:$H$500,Z$6,SRC_Fixed.$G$4:$G$500),0)</f>
        <v/>
      </c>
      <c r="AA21" s="70">
        <f>IFERROR(SUMIF(SRC_Fixed.$H$4:$H$500,AA$6,SRC_Fixed.$G$4:$G$500),0)</f>
        <v/>
      </c>
      <c r="AB21" s="70">
        <f>IFERROR(SUMIF(SRC_Fixed.$H$4:$H$500,AB$6,SRC_Fixed.$G$4:$G$500),0)</f>
        <v/>
      </c>
      <c r="AC21" s="70">
        <f>IFERROR(SUMIF(SRC_Fixed.$H$4:$H$500,AC$6,SRC_Fixed.$G$4:$G$500),0)</f>
        <v/>
      </c>
      <c r="AD21" s="71">
        <f>IFERROR(SUMIF(SRC_Fixed.$H$4:$H$500,AD$6,SRC_Fixed.$G$4:$G$500),0)</f>
        <v/>
      </c>
      <c r="AE21" s="72">
        <f>IFERROR(SUMIF(SRC_Fixed.$H$4:$H$500,AE$6,SRC_Fixed.$G$4:$G$500),0)</f>
        <v/>
      </c>
      <c r="AF21" s="70">
        <f>IFERROR(SUMIF(SRC_Fixed.$H$4:$H$500,AF$6,SRC_Fixed.$G$4:$G$500),0)</f>
        <v/>
      </c>
      <c r="AG21" s="70">
        <f>IFERROR(SUMIF(SRC_Fixed.$H$4:$H$500,AG$6,SRC_Fixed.$G$4:$G$500),0)</f>
        <v/>
      </c>
      <c r="AH21" s="70">
        <f>IFERROR(SUMIF(SRC_Fixed.$H$4:$H$500,AH$6,SRC_Fixed.$G$4:$G$500),0)</f>
        <v/>
      </c>
      <c r="AI21" s="70">
        <f>IFERROR(SUMIF(SRC_Fixed.$H$4:$H$500,AI$6,SRC_Fixed.$G$4:$G$500),0)</f>
        <v/>
      </c>
      <c r="AJ21" s="70">
        <f>IFERROR(SUMIF(SRC_Fixed.$H$4:$H$500,AJ$6,SRC_Fixed.$G$4:$G$500),0)</f>
        <v/>
      </c>
      <c r="AK21" s="71">
        <f>IFERROR(SUMIF(SRC_Fixed.$H$4:$H$500,AK$6,SRC_Fixed.$G$4:$G$500),0)</f>
        <v/>
      </c>
      <c r="AL21" s="72">
        <f>IFERROR(SUMIF(SRC_Fixed.$H$4:$H$500,AL$6,SRC_Fixed.$G$4:$G$500),0)</f>
        <v/>
      </c>
      <c r="AM21" s="70">
        <f>IFERROR(SUMIF(SRC_Fixed.$H$4:$H$500,AM$6,SRC_Fixed.$G$4:$G$500),0)</f>
        <v/>
      </c>
      <c r="AN21" s="70">
        <f>IFERROR(SUMIF(SRC_Fixed.$H$4:$H$500,AN$6,SRC_Fixed.$G$4:$G$500),0)</f>
        <v/>
      </c>
      <c r="AO21" s="70">
        <f>IFERROR(SUMIF(SRC_Fixed.$H$4:$H$500,AO$6,SRC_Fixed.$G$4:$G$500),0)</f>
        <v/>
      </c>
      <c r="AP21" s="70">
        <f>IFERROR(SUMIF(SRC_Fixed.$H$4:$H$500,AP$6,SRC_Fixed.$G$4:$G$500),0)</f>
        <v/>
      </c>
      <c r="AQ21" s="70">
        <f>IFERROR(SUMIF(SRC_Fixed.$H$4:$H$500,AQ$6,SRC_Fixed.$G$4:$G$500),0)</f>
        <v/>
      </c>
      <c r="AR21" s="71">
        <f>IFERROR(SUMIF(SRC_Fixed.$H$4:$H$500,AR$6,SRC_Fixed.$G$4:$G$500),0)</f>
        <v/>
      </c>
      <c r="AS21" s="72">
        <f>IFERROR(SUMIF(SRC_Fixed.$H$4:$H$500,AS$6,SRC_Fixed.$G$4:$G$500),0)</f>
        <v/>
      </c>
      <c r="AT21" s="70">
        <f>IFERROR(SUMIF(SRC_Fixed.$H$4:$H$500,AT$6,SRC_Fixed.$G$4:$G$500),0)</f>
        <v/>
      </c>
      <c r="AU21" s="70">
        <f>IFERROR(SUMIF(SRC_Fixed.$H$4:$H$500,AU$6,SRC_Fixed.$G$4:$G$500),0)</f>
        <v/>
      </c>
      <c r="AV21" s="70">
        <f>IFERROR(SUMIF(SRC_Fixed.$H$4:$H$500,AV$6,SRC_Fixed.$G$4:$G$500),0)</f>
        <v/>
      </c>
      <c r="AW21" s="70">
        <f>IFERROR(SUMIF(SRC_Fixed.$H$4:$H$500,AW$6,SRC_Fixed.$G$4:$G$500),0)</f>
        <v/>
      </c>
      <c r="AX21" s="70">
        <f>IFERROR(SUMIF(SRC_Fixed.$H$4:$H$500,AX$6,SRC_Fixed.$G$4:$G$500),0)</f>
        <v/>
      </c>
      <c r="AY21" s="71">
        <f>IFERROR(SUMIF(SRC_Fixed.$H$4:$H$500,AY$6,SRC_Fixed.$G$4:$G$500),0)</f>
        <v/>
      </c>
      <c r="AZ21" s="72">
        <f>IFERROR(SUMIF(SRC_Fixed.$H$4:$H$500,AZ$6,SRC_Fixed.$G$4:$G$500),0)</f>
        <v/>
      </c>
      <c r="BA21" s="70">
        <f>IFERROR(SUMIF(SRC_Fixed.$H$4:$H$500,BA$6,SRC_Fixed.$G$4:$G$500),0)</f>
        <v/>
      </c>
      <c r="BB21" s="70">
        <f>IFERROR(SUMIF(SRC_Fixed.$H$4:$H$500,BB$6,SRC_Fixed.$G$4:$G$500),0)</f>
        <v/>
      </c>
      <c r="BC21" s="70">
        <f>IFERROR(SUMIF(SRC_Fixed.$H$4:$H$500,BC$6,SRC_Fixed.$G$4:$G$500),0)</f>
        <v/>
      </c>
      <c r="BD21" s="70">
        <f>IFERROR(SUMIF(SRC_Fixed.$H$4:$H$500,BD$6,SRC_Fixed.$G$4:$G$500),0)</f>
        <v/>
      </c>
      <c r="BE21" s="70">
        <f>IFERROR(SUMIF(SRC_Fixed.$H$4:$H$500,BE$6,SRC_Fixed.$G$4:$G$500),0)</f>
        <v/>
      </c>
      <c r="BF21" s="71">
        <f>IFERROR(SUMIF(SRC_Fixed.$H$4:$H$500,BF$6,SRC_Fixed.$G$4:$G$500),0)</f>
        <v/>
      </c>
      <c r="BG21" s="72">
        <f>IFERROR(SUMIF(SRC_Fixed.$H$4:$H$500,BG$6,SRC_Fixed.$G$4:$G$500),0)</f>
        <v/>
      </c>
      <c r="BH21" s="70">
        <f>IFERROR(SUMIF(SRC_Fixed.$H$4:$H$500,BH$6,SRC_Fixed.$G$4:$G$500),0)</f>
        <v/>
      </c>
      <c r="BI21" s="70">
        <f>IFERROR(SUMIF(SRC_Fixed.$H$4:$H$500,BI$6,SRC_Fixed.$G$4:$G$500),0)</f>
        <v/>
      </c>
      <c r="BJ21" s="70">
        <f>IFERROR(SUMIF(SRC_Fixed.$H$4:$H$500,BJ$6,SRC_Fixed.$G$4:$G$500),0)</f>
        <v/>
      </c>
      <c r="BK21" s="70">
        <f>IFERROR(SUMIF(SRC_Fixed.$H$4:$H$500,BK$6,SRC_Fixed.$G$4:$G$500),0)</f>
        <v/>
      </c>
    </row>
    <row r="22">
      <c r="A22" s="68" t="inlineStr">
        <is>
          <t xml:space="preserve">  Variable Expenses</t>
        </is>
      </c>
      <c r="B22" s="52" t="n"/>
      <c r="C22" s="53" t="n"/>
      <c r="D22" s="70">
        <f>IFERROR(SUMIF(SRC_Variable.$H$4:$H$500,D$6,SRC_Variable.$G$4:$G$500),0)</f>
        <v/>
      </c>
      <c r="E22" s="70">
        <f>IFERROR(SUMIF(SRC_Variable.$H$4:$H$500,E$6,SRC_Variable.$G$4:$G$500),0)</f>
        <v/>
      </c>
      <c r="F22" s="70">
        <f>IFERROR(SUMIF(SRC_Variable.$H$4:$H$500,F$6,SRC_Variable.$G$4:$G$500),0)</f>
        <v/>
      </c>
      <c r="G22" s="70">
        <f>IFERROR(SUMIF(SRC_Variable.$H$4:$H$500,G$6,SRC_Variable.$G$4:$G$500),0)</f>
        <v/>
      </c>
      <c r="H22" s="70">
        <f>IFERROR(SUMIF(SRC_Variable.$H$4:$H$500,H$6,SRC_Variable.$G$4:$G$500),0)</f>
        <v/>
      </c>
      <c r="I22" s="71">
        <f>IFERROR(SUMIF(SRC_Variable.$H$4:$H$500,I$6,SRC_Variable.$G$4:$G$500),0)</f>
        <v/>
      </c>
      <c r="J22" s="72">
        <f>IFERROR(SUMIF(SRC_Variable.$H$4:$H$500,J$6,SRC_Variable.$G$4:$G$500),0)</f>
        <v/>
      </c>
      <c r="K22" s="70">
        <f>IFERROR(SUMIF(SRC_Variable.$H$4:$H$500,K$6,SRC_Variable.$G$4:$G$500),0)</f>
        <v/>
      </c>
      <c r="L22" s="70">
        <f>IFERROR(SUMIF(SRC_Variable.$H$4:$H$500,L$6,SRC_Variable.$G$4:$G$500),0)</f>
        <v/>
      </c>
      <c r="M22" s="70">
        <f>IFERROR(SUMIF(SRC_Variable.$H$4:$H$500,M$6,SRC_Variable.$G$4:$G$500),0)</f>
        <v/>
      </c>
      <c r="N22" s="70">
        <f>IFERROR(SUMIF(SRC_Variable.$H$4:$H$500,N$6,SRC_Variable.$G$4:$G$500),0)</f>
        <v/>
      </c>
      <c r="O22" s="70">
        <f>IFERROR(SUMIF(SRC_Variable.$H$4:$H$500,O$6,SRC_Variable.$G$4:$G$500),0)</f>
        <v/>
      </c>
      <c r="P22" s="71">
        <f>IFERROR(SUMIF(SRC_Variable.$H$4:$H$500,P$6,SRC_Variable.$G$4:$G$500),0)</f>
        <v/>
      </c>
      <c r="Q22" s="72">
        <f>IFERROR(SUMIF(SRC_Variable.$H$4:$H$500,Q$6,SRC_Variable.$G$4:$G$500),0)</f>
        <v/>
      </c>
      <c r="R22" s="70">
        <f>IFERROR(SUMIF(SRC_Variable.$H$4:$H$500,R$6,SRC_Variable.$G$4:$G$500),0)</f>
        <v/>
      </c>
      <c r="S22" s="70">
        <f>IFERROR(SUMIF(SRC_Variable.$H$4:$H$500,S$6,SRC_Variable.$G$4:$G$500),0)</f>
        <v/>
      </c>
      <c r="T22" s="70">
        <f>IFERROR(SUMIF(SRC_Variable.$H$4:$H$500,T$6,SRC_Variable.$G$4:$G$500),0)</f>
        <v/>
      </c>
      <c r="U22" s="70">
        <f>IFERROR(SUMIF(SRC_Variable.$H$4:$H$500,U$6,SRC_Variable.$G$4:$G$500),0)</f>
        <v/>
      </c>
      <c r="V22" s="70">
        <f>IFERROR(SUMIF(SRC_Variable.$H$4:$H$500,V$6,SRC_Variable.$G$4:$G$500),0)</f>
        <v/>
      </c>
      <c r="W22" s="71">
        <f>IFERROR(SUMIF(SRC_Variable.$H$4:$H$500,W$6,SRC_Variable.$G$4:$G$500),0)</f>
        <v/>
      </c>
      <c r="X22" s="72">
        <f>IFERROR(SUMIF(SRC_Variable.$H$4:$H$500,X$6,SRC_Variable.$G$4:$G$500),0)</f>
        <v/>
      </c>
      <c r="Y22" s="70">
        <f>IFERROR(SUMIF(SRC_Variable.$H$4:$H$500,Y$6,SRC_Variable.$G$4:$G$500),0)</f>
        <v/>
      </c>
      <c r="Z22" s="70">
        <f>IFERROR(SUMIF(SRC_Variable.$H$4:$H$500,Z$6,SRC_Variable.$G$4:$G$500),0)</f>
        <v/>
      </c>
      <c r="AA22" s="70">
        <f>IFERROR(SUMIF(SRC_Variable.$H$4:$H$500,AA$6,SRC_Variable.$G$4:$G$500),0)</f>
        <v/>
      </c>
      <c r="AB22" s="70">
        <f>IFERROR(SUMIF(SRC_Variable.$H$4:$H$500,AB$6,SRC_Variable.$G$4:$G$500),0)</f>
        <v/>
      </c>
      <c r="AC22" s="70">
        <f>IFERROR(SUMIF(SRC_Variable.$H$4:$H$500,AC$6,SRC_Variable.$G$4:$G$500),0)</f>
        <v/>
      </c>
      <c r="AD22" s="71">
        <f>IFERROR(SUMIF(SRC_Variable.$H$4:$H$500,AD$6,SRC_Variable.$G$4:$G$500),0)</f>
        <v/>
      </c>
      <c r="AE22" s="72">
        <f>IFERROR(SUMIF(SRC_Variable.$H$4:$H$500,AE$6,SRC_Variable.$G$4:$G$500),0)</f>
        <v/>
      </c>
      <c r="AF22" s="70">
        <f>IFERROR(SUMIF(SRC_Variable.$H$4:$H$500,AF$6,SRC_Variable.$G$4:$G$500),0)</f>
        <v/>
      </c>
      <c r="AG22" s="70">
        <f>IFERROR(SUMIF(SRC_Variable.$H$4:$H$500,AG$6,SRC_Variable.$G$4:$G$500),0)</f>
        <v/>
      </c>
      <c r="AH22" s="70">
        <f>IFERROR(SUMIF(SRC_Variable.$H$4:$H$500,AH$6,SRC_Variable.$G$4:$G$500),0)</f>
        <v/>
      </c>
      <c r="AI22" s="70">
        <f>IFERROR(SUMIF(SRC_Variable.$H$4:$H$500,AI$6,SRC_Variable.$G$4:$G$500),0)</f>
        <v/>
      </c>
      <c r="AJ22" s="70">
        <f>IFERROR(SUMIF(SRC_Variable.$H$4:$H$500,AJ$6,SRC_Variable.$G$4:$G$500),0)</f>
        <v/>
      </c>
      <c r="AK22" s="71">
        <f>IFERROR(SUMIF(SRC_Variable.$H$4:$H$500,AK$6,SRC_Variable.$G$4:$G$500),0)</f>
        <v/>
      </c>
      <c r="AL22" s="72">
        <f>IFERROR(SUMIF(SRC_Variable.$H$4:$H$500,AL$6,SRC_Variable.$G$4:$G$500),0)</f>
        <v/>
      </c>
      <c r="AM22" s="70">
        <f>IFERROR(SUMIF(SRC_Variable.$H$4:$H$500,AM$6,SRC_Variable.$G$4:$G$500),0)</f>
        <v/>
      </c>
      <c r="AN22" s="70">
        <f>IFERROR(SUMIF(SRC_Variable.$H$4:$H$500,AN$6,SRC_Variable.$G$4:$G$500),0)</f>
        <v/>
      </c>
      <c r="AO22" s="70">
        <f>IFERROR(SUMIF(SRC_Variable.$H$4:$H$500,AO$6,SRC_Variable.$G$4:$G$500),0)</f>
        <v/>
      </c>
      <c r="AP22" s="70">
        <f>IFERROR(SUMIF(SRC_Variable.$H$4:$H$500,AP$6,SRC_Variable.$G$4:$G$500),0)</f>
        <v/>
      </c>
      <c r="AQ22" s="70">
        <f>IFERROR(SUMIF(SRC_Variable.$H$4:$H$500,AQ$6,SRC_Variable.$G$4:$G$500),0)</f>
        <v/>
      </c>
      <c r="AR22" s="71">
        <f>IFERROR(SUMIF(SRC_Variable.$H$4:$H$500,AR$6,SRC_Variable.$G$4:$G$500),0)</f>
        <v/>
      </c>
      <c r="AS22" s="72">
        <f>IFERROR(SUMIF(SRC_Variable.$H$4:$H$500,AS$6,SRC_Variable.$G$4:$G$500),0)</f>
        <v/>
      </c>
      <c r="AT22" s="70">
        <f>IFERROR(SUMIF(SRC_Variable.$H$4:$H$500,AT$6,SRC_Variable.$G$4:$G$500),0)</f>
        <v/>
      </c>
      <c r="AU22" s="70">
        <f>IFERROR(SUMIF(SRC_Variable.$H$4:$H$500,AU$6,SRC_Variable.$G$4:$G$500),0)</f>
        <v/>
      </c>
      <c r="AV22" s="70">
        <f>IFERROR(SUMIF(SRC_Variable.$H$4:$H$500,AV$6,SRC_Variable.$G$4:$G$500),0)</f>
        <v/>
      </c>
      <c r="AW22" s="70">
        <f>IFERROR(SUMIF(SRC_Variable.$H$4:$H$500,AW$6,SRC_Variable.$G$4:$G$500),0)</f>
        <v/>
      </c>
      <c r="AX22" s="70">
        <f>IFERROR(SUMIF(SRC_Variable.$H$4:$H$500,AX$6,SRC_Variable.$G$4:$G$500),0)</f>
        <v/>
      </c>
      <c r="AY22" s="71">
        <f>IFERROR(SUMIF(SRC_Variable.$H$4:$H$500,AY$6,SRC_Variable.$G$4:$G$500),0)</f>
        <v/>
      </c>
      <c r="AZ22" s="72">
        <f>IFERROR(SUMIF(SRC_Variable.$H$4:$H$500,AZ$6,SRC_Variable.$G$4:$G$500),0)</f>
        <v/>
      </c>
      <c r="BA22" s="70">
        <f>IFERROR(SUMIF(SRC_Variable.$H$4:$H$500,BA$6,SRC_Variable.$G$4:$G$500),0)</f>
        <v/>
      </c>
      <c r="BB22" s="70">
        <f>IFERROR(SUMIF(SRC_Variable.$H$4:$H$500,BB$6,SRC_Variable.$G$4:$G$500),0)</f>
        <v/>
      </c>
      <c r="BC22" s="70">
        <f>IFERROR(SUMIF(SRC_Variable.$H$4:$H$500,BC$6,SRC_Variable.$G$4:$G$500),0)</f>
        <v/>
      </c>
      <c r="BD22" s="70">
        <f>IFERROR(SUMIF(SRC_Variable.$H$4:$H$500,BD$6,SRC_Variable.$G$4:$G$500),0)</f>
        <v/>
      </c>
      <c r="BE22" s="70">
        <f>IFERROR(SUMIF(SRC_Variable.$H$4:$H$500,BE$6,SRC_Variable.$G$4:$G$500),0)</f>
        <v/>
      </c>
      <c r="BF22" s="71">
        <f>IFERROR(SUMIF(SRC_Variable.$H$4:$H$500,BF$6,SRC_Variable.$G$4:$G$500),0)</f>
        <v/>
      </c>
      <c r="BG22" s="72">
        <f>IFERROR(SUMIF(SRC_Variable.$H$4:$H$500,BG$6,SRC_Variable.$G$4:$G$500),0)</f>
        <v/>
      </c>
      <c r="BH22" s="70">
        <f>IFERROR(SUMIF(SRC_Variable.$H$4:$H$500,BH$6,SRC_Variable.$G$4:$G$500),0)</f>
        <v/>
      </c>
      <c r="BI22" s="70">
        <f>IFERROR(SUMIF(SRC_Variable.$H$4:$H$500,BI$6,SRC_Variable.$G$4:$G$500),0)</f>
        <v/>
      </c>
      <c r="BJ22" s="70">
        <f>IFERROR(SUMIF(SRC_Variable.$H$4:$H$500,BJ$6,SRC_Variable.$G$4:$G$500),0)</f>
        <v/>
      </c>
      <c r="BK22" s="70">
        <f>IFERROR(SUMIF(SRC_Variable.$H$4:$H$500,BK$6,SRC_Variable.$G$4:$G$500),0)</f>
        <v/>
      </c>
    </row>
    <row r="23">
      <c r="A23" s="68" t="inlineStr">
        <is>
          <t xml:space="preserve">  Payment Calendar Items</t>
        </is>
      </c>
      <c r="B23" s="52" t="n"/>
      <c r="C23" s="53" t="n"/>
      <c r="D23" s="70">
        <f>IFERROR(SUMIF(Payment_Data.$J$6:$J$500,D$6,Payment_Data.$I$6:$I$500),0)</f>
        <v/>
      </c>
      <c r="E23" s="70">
        <f>IFERROR(SUMIF(Payment_Data.$J$6:$J$500,E$6,Payment_Data.$I$6:$I$500),0)</f>
        <v/>
      </c>
      <c r="F23" s="70">
        <f>IFERROR(SUMIF(Payment_Data.$J$6:$J$500,F$6,Payment_Data.$I$6:$I$500),0)</f>
        <v/>
      </c>
      <c r="G23" s="70">
        <f>IFERROR(SUMIF(Payment_Data.$J$6:$J$500,G$6,Payment_Data.$I$6:$I$500),0)</f>
        <v/>
      </c>
      <c r="H23" s="70">
        <f>IFERROR(SUMIF(Payment_Data.$J$6:$J$500,H$6,Payment_Data.$I$6:$I$500),0)</f>
        <v/>
      </c>
      <c r="I23" s="71">
        <f>IFERROR(SUMIF(Payment_Data.$J$6:$J$500,I$6,Payment_Data.$I$6:$I$500),0)</f>
        <v/>
      </c>
      <c r="J23" s="72">
        <f>IFERROR(SUMIF(Payment_Data.$J$6:$J$500,J$6,Payment_Data.$I$6:$I$500),0)</f>
        <v/>
      </c>
      <c r="K23" s="70">
        <f>IFERROR(SUMIF(Payment_Data.$J$6:$J$500,K$6,Payment_Data.$I$6:$I$500),0)</f>
        <v/>
      </c>
      <c r="L23" s="70">
        <f>IFERROR(SUMIF(Payment_Data.$J$6:$J$500,L$6,Payment_Data.$I$6:$I$500),0)</f>
        <v/>
      </c>
      <c r="M23" s="70">
        <f>IFERROR(SUMIF(Payment_Data.$J$6:$J$500,M$6,Payment_Data.$I$6:$I$500),0)</f>
        <v/>
      </c>
      <c r="N23" s="70">
        <f>IFERROR(SUMIF(Payment_Data.$J$6:$J$500,N$6,Payment_Data.$I$6:$I$500),0)</f>
        <v/>
      </c>
      <c r="O23" s="70">
        <f>IFERROR(SUMIF(Payment_Data.$J$6:$J$500,O$6,Payment_Data.$I$6:$I$500),0)</f>
        <v/>
      </c>
      <c r="P23" s="71">
        <f>IFERROR(SUMIF(Payment_Data.$J$6:$J$500,P$6,Payment_Data.$I$6:$I$500),0)</f>
        <v/>
      </c>
      <c r="Q23" s="72">
        <f>IFERROR(SUMIF(Payment_Data.$J$6:$J$500,Q$6,Payment_Data.$I$6:$I$500),0)</f>
        <v/>
      </c>
      <c r="R23" s="70">
        <f>IFERROR(SUMIF(Payment_Data.$J$6:$J$500,R$6,Payment_Data.$I$6:$I$500),0)</f>
        <v/>
      </c>
      <c r="S23" s="70">
        <f>IFERROR(SUMIF(Payment_Data.$J$6:$J$500,S$6,Payment_Data.$I$6:$I$500),0)</f>
        <v/>
      </c>
      <c r="T23" s="70">
        <f>IFERROR(SUMIF(Payment_Data.$J$6:$J$500,T$6,Payment_Data.$I$6:$I$500),0)</f>
        <v/>
      </c>
      <c r="U23" s="70">
        <f>IFERROR(SUMIF(Payment_Data.$J$6:$J$500,U$6,Payment_Data.$I$6:$I$500),0)</f>
        <v/>
      </c>
      <c r="V23" s="70">
        <f>IFERROR(SUMIF(Payment_Data.$J$6:$J$500,V$6,Payment_Data.$I$6:$I$500),0)</f>
        <v/>
      </c>
      <c r="W23" s="71">
        <f>IFERROR(SUMIF(Payment_Data.$J$6:$J$500,W$6,Payment_Data.$I$6:$I$500),0)</f>
        <v/>
      </c>
      <c r="X23" s="72">
        <f>IFERROR(SUMIF(Payment_Data.$J$6:$J$500,X$6,Payment_Data.$I$6:$I$500),0)</f>
        <v/>
      </c>
      <c r="Y23" s="70">
        <f>IFERROR(SUMIF(Payment_Data.$J$6:$J$500,Y$6,Payment_Data.$I$6:$I$500),0)</f>
        <v/>
      </c>
      <c r="Z23" s="70">
        <f>IFERROR(SUMIF(Payment_Data.$J$6:$J$500,Z$6,Payment_Data.$I$6:$I$500),0)</f>
        <v/>
      </c>
      <c r="AA23" s="70">
        <f>IFERROR(SUMIF(Payment_Data.$J$6:$J$500,AA$6,Payment_Data.$I$6:$I$500),0)</f>
        <v/>
      </c>
      <c r="AB23" s="70">
        <f>IFERROR(SUMIF(Payment_Data.$J$6:$J$500,AB$6,Payment_Data.$I$6:$I$500),0)</f>
        <v/>
      </c>
      <c r="AC23" s="70">
        <f>IFERROR(SUMIF(Payment_Data.$J$6:$J$500,AC$6,Payment_Data.$I$6:$I$500),0)</f>
        <v/>
      </c>
      <c r="AD23" s="71">
        <f>IFERROR(SUMIF(Payment_Data.$J$6:$J$500,AD$6,Payment_Data.$I$6:$I$500),0)</f>
        <v/>
      </c>
      <c r="AE23" s="72">
        <f>IFERROR(SUMIF(Payment_Data.$J$6:$J$500,AE$6,Payment_Data.$I$6:$I$500),0)</f>
        <v/>
      </c>
      <c r="AF23" s="70">
        <f>IFERROR(SUMIF(Payment_Data.$J$6:$J$500,AF$6,Payment_Data.$I$6:$I$500),0)</f>
        <v/>
      </c>
      <c r="AG23" s="70">
        <f>IFERROR(SUMIF(Payment_Data.$J$6:$J$500,AG$6,Payment_Data.$I$6:$I$500),0)</f>
        <v/>
      </c>
      <c r="AH23" s="70">
        <f>IFERROR(SUMIF(Payment_Data.$J$6:$J$500,AH$6,Payment_Data.$I$6:$I$500),0)</f>
        <v/>
      </c>
      <c r="AI23" s="70">
        <f>IFERROR(SUMIF(Payment_Data.$J$6:$J$500,AI$6,Payment_Data.$I$6:$I$500),0)</f>
        <v/>
      </c>
      <c r="AJ23" s="70">
        <f>IFERROR(SUMIF(Payment_Data.$J$6:$J$500,AJ$6,Payment_Data.$I$6:$I$500),0)</f>
        <v/>
      </c>
      <c r="AK23" s="71">
        <f>IFERROR(SUMIF(Payment_Data.$J$6:$J$500,AK$6,Payment_Data.$I$6:$I$500),0)</f>
        <v/>
      </c>
      <c r="AL23" s="72">
        <f>IFERROR(SUMIF(Payment_Data.$J$6:$J$500,AL$6,Payment_Data.$I$6:$I$500),0)</f>
        <v/>
      </c>
      <c r="AM23" s="70">
        <f>IFERROR(SUMIF(Payment_Data.$J$6:$J$500,AM$6,Payment_Data.$I$6:$I$500),0)</f>
        <v/>
      </c>
      <c r="AN23" s="70">
        <f>IFERROR(SUMIF(Payment_Data.$J$6:$J$500,AN$6,Payment_Data.$I$6:$I$500),0)</f>
        <v/>
      </c>
      <c r="AO23" s="70">
        <f>IFERROR(SUMIF(Payment_Data.$J$6:$J$500,AO$6,Payment_Data.$I$6:$I$500),0)</f>
        <v/>
      </c>
      <c r="AP23" s="70">
        <f>IFERROR(SUMIF(Payment_Data.$J$6:$J$500,AP$6,Payment_Data.$I$6:$I$500),0)</f>
        <v/>
      </c>
      <c r="AQ23" s="70">
        <f>IFERROR(SUMIF(Payment_Data.$J$6:$J$500,AQ$6,Payment_Data.$I$6:$I$500),0)</f>
        <v/>
      </c>
      <c r="AR23" s="71">
        <f>IFERROR(SUMIF(Payment_Data.$J$6:$J$500,AR$6,Payment_Data.$I$6:$I$500),0)</f>
        <v/>
      </c>
      <c r="AS23" s="72">
        <f>IFERROR(SUMIF(Payment_Data.$J$6:$J$500,AS$6,Payment_Data.$I$6:$I$500),0)</f>
        <v/>
      </c>
      <c r="AT23" s="70">
        <f>IFERROR(SUMIF(Payment_Data.$J$6:$J$500,AT$6,Payment_Data.$I$6:$I$500),0)</f>
        <v/>
      </c>
      <c r="AU23" s="70">
        <f>IFERROR(SUMIF(Payment_Data.$J$6:$J$500,AU$6,Payment_Data.$I$6:$I$500),0)</f>
        <v/>
      </c>
      <c r="AV23" s="70">
        <f>IFERROR(SUMIF(Payment_Data.$J$6:$J$500,AV$6,Payment_Data.$I$6:$I$500),0)</f>
        <v/>
      </c>
      <c r="AW23" s="70">
        <f>IFERROR(SUMIF(Payment_Data.$J$6:$J$500,AW$6,Payment_Data.$I$6:$I$500),0)</f>
        <v/>
      </c>
      <c r="AX23" s="70">
        <f>IFERROR(SUMIF(Payment_Data.$J$6:$J$500,AX$6,Payment_Data.$I$6:$I$500),0)</f>
        <v/>
      </c>
      <c r="AY23" s="71">
        <f>IFERROR(SUMIF(Payment_Data.$J$6:$J$500,AY$6,Payment_Data.$I$6:$I$500),0)</f>
        <v/>
      </c>
      <c r="AZ23" s="72">
        <f>IFERROR(SUMIF(Payment_Data.$J$6:$J$500,AZ$6,Payment_Data.$I$6:$I$500),0)</f>
        <v/>
      </c>
      <c r="BA23" s="70">
        <f>IFERROR(SUMIF(Payment_Data.$J$6:$J$500,BA$6,Payment_Data.$I$6:$I$500),0)</f>
        <v/>
      </c>
      <c r="BB23" s="70">
        <f>IFERROR(SUMIF(Payment_Data.$J$6:$J$500,BB$6,Payment_Data.$I$6:$I$500),0)</f>
        <v/>
      </c>
      <c r="BC23" s="70">
        <f>IFERROR(SUMIF(Payment_Data.$J$6:$J$500,BC$6,Payment_Data.$I$6:$I$500),0)</f>
        <v/>
      </c>
      <c r="BD23" s="70">
        <f>IFERROR(SUMIF(Payment_Data.$J$6:$J$500,BD$6,Payment_Data.$I$6:$I$500),0)</f>
        <v/>
      </c>
      <c r="BE23" s="70">
        <f>IFERROR(SUMIF(Payment_Data.$J$6:$J$500,BE$6,Payment_Data.$I$6:$I$500),0)</f>
        <v/>
      </c>
      <c r="BF23" s="71">
        <f>IFERROR(SUMIF(Payment_Data.$J$6:$J$500,BF$6,Payment_Data.$I$6:$I$500),0)</f>
        <v/>
      </c>
      <c r="BG23" s="72">
        <f>IFERROR(SUMIF(Payment_Data.$J$6:$J$500,BG$6,Payment_Data.$I$6:$I$500),0)</f>
        <v/>
      </c>
      <c r="BH23" s="70">
        <f>IFERROR(SUMIF(Payment_Data.$J$6:$J$500,BH$6,Payment_Data.$I$6:$I$500),0)</f>
        <v/>
      </c>
      <c r="BI23" s="70">
        <f>IFERROR(SUMIF(Payment_Data.$J$6:$J$500,BI$6,Payment_Data.$I$6:$I$500),0)</f>
        <v/>
      </c>
      <c r="BJ23" s="70">
        <f>IFERROR(SUMIF(Payment_Data.$J$6:$J$500,BJ$6,Payment_Data.$I$6:$I$500),0)</f>
        <v/>
      </c>
      <c r="BK23" s="70">
        <f>IFERROR(SUMIF(Payment_Data.$J$6:$J$500,BK$6,Payment_Data.$I$6:$I$500),0)</f>
        <v/>
      </c>
    </row>
    <row r="24">
      <c r="A24" s="68" t="inlineStr">
        <is>
          <t xml:space="preserve">  Other Outflows</t>
        </is>
      </c>
      <c r="B24" s="52" t="n"/>
      <c r="C24" s="53" t="n"/>
      <c r="D24" s="69" t="n">
        <v>0</v>
      </c>
      <c r="E24" s="69" t="n">
        <v>0</v>
      </c>
      <c r="F24" s="69" t="n">
        <v>0</v>
      </c>
      <c r="G24" s="69" t="n">
        <v>0</v>
      </c>
      <c r="H24" s="69" t="n">
        <v>0</v>
      </c>
      <c r="I24" s="69" t="n">
        <v>0</v>
      </c>
      <c r="J24" s="69" t="n">
        <v>0</v>
      </c>
      <c r="K24" s="69" t="n">
        <v>0</v>
      </c>
      <c r="L24" s="69" t="n">
        <v>0</v>
      </c>
      <c r="M24" s="69" t="n">
        <v>0</v>
      </c>
      <c r="N24" s="69" t="n">
        <v>0</v>
      </c>
      <c r="O24" s="69" t="n">
        <v>0</v>
      </c>
      <c r="P24" s="69" t="n">
        <v>0</v>
      </c>
      <c r="Q24" s="69" t="n">
        <v>0</v>
      </c>
      <c r="R24" s="69" t="n">
        <v>0</v>
      </c>
      <c r="S24" s="69" t="n">
        <v>0</v>
      </c>
      <c r="T24" s="69" t="n">
        <v>0</v>
      </c>
      <c r="U24" s="69" t="n">
        <v>0</v>
      </c>
      <c r="V24" s="69" t="n">
        <v>0</v>
      </c>
      <c r="W24" s="69" t="n">
        <v>0</v>
      </c>
      <c r="X24" s="69" t="n">
        <v>0</v>
      </c>
      <c r="Y24" s="69" t="n">
        <v>0</v>
      </c>
      <c r="Z24" s="69" t="n">
        <v>0</v>
      </c>
      <c r="AA24" s="69" t="n">
        <v>0</v>
      </c>
      <c r="AB24" s="69" t="n">
        <v>0</v>
      </c>
      <c r="AC24" s="69" t="n">
        <v>0</v>
      </c>
      <c r="AD24" s="69" t="n">
        <v>0</v>
      </c>
      <c r="AE24" s="69" t="n">
        <v>0</v>
      </c>
      <c r="AF24" s="69" t="n">
        <v>0</v>
      </c>
      <c r="AG24" s="69" t="n">
        <v>0</v>
      </c>
      <c r="AH24" s="69" t="n">
        <v>0</v>
      </c>
      <c r="AI24" s="69" t="n">
        <v>0</v>
      </c>
      <c r="AJ24" s="69" t="n">
        <v>0</v>
      </c>
      <c r="AK24" s="69" t="n">
        <v>0</v>
      </c>
      <c r="AL24" s="69" t="n">
        <v>0</v>
      </c>
      <c r="AM24" s="69" t="n">
        <v>0</v>
      </c>
      <c r="AN24" s="69" t="n">
        <v>0</v>
      </c>
      <c r="AO24" s="69" t="n">
        <v>0</v>
      </c>
      <c r="AP24" s="69" t="n">
        <v>0</v>
      </c>
      <c r="AQ24" s="69" t="n">
        <v>0</v>
      </c>
      <c r="AR24" s="69" t="n">
        <v>0</v>
      </c>
      <c r="AS24" s="69" t="n">
        <v>0</v>
      </c>
      <c r="AT24" s="69" t="n">
        <v>0</v>
      </c>
      <c r="AU24" s="69" t="n">
        <v>0</v>
      </c>
      <c r="AV24" s="69" t="n">
        <v>0</v>
      </c>
      <c r="AW24" s="69" t="n">
        <v>0</v>
      </c>
      <c r="AX24" s="69" t="n">
        <v>0</v>
      </c>
      <c r="AY24" s="69" t="n">
        <v>0</v>
      </c>
      <c r="AZ24" s="69" t="n">
        <v>0</v>
      </c>
      <c r="BA24" s="69" t="n">
        <v>0</v>
      </c>
      <c r="BB24" s="69" t="n">
        <v>0</v>
      </c>
      <c r="BC24" s="69" t="n">
        <v>0</v>
      </c>
      <c r="BD24" s="69" t="n">
        <v>0</v>
      </c>
      <c r="BE24" s="69" t="n">
        <v>0</v>
      </c>
      <c r="BF24" s="69" t="n">
        <v>0</v>
      </c>
      <c r="BG24" s="69" t="n">
        <v>0</v>
      </c>
      <c r="BH24" s="69" t="n">
        <v>0</v>
      </c>
      <c r="BI24" s="69" t="n">
        <v>0</v>
      </c>
      <c r="BJ24" s="69" t="n">
        <v>0</v>
      </c>
      <c r="BK24" s="69" t="n">
        <v>0</v>
      </c>
    </row>
    <row r="25">
      <c r="A25" s="73" t="inlineStr">
        <is>
          <t xml:space="preserve">  TOTAL OUTFLOWS</t>
        </is>
      </c>
      <c r="B25" s="52" t="n"/>
      <c r="C25" s="53" t="n"/>
      <c r="D25" s="74">
        <f>SUM(D17:D24)</f>
        <v/>
      </c>
      <c r="E25" s="74">
        <f>SUM(E17:E24)</f>
        <v/>
      </c>
      <c r="F25" s="74">
        <f>SUM(F17:F24)</f>
        <v/>
      </c>
      <c r="G25" s="74">
        <f>SUM(G17:G24)</f>
        <v/>
      </c>
      <c r="H25" s="74">
        <f>SUM(H17:H24)</f>
        <v/>
      </c>
      <c r="I25" s="74">
        <f>SUM(I17:I24)</f>
        <v/>
      </c>
      <c r="J25" s="74">
        <f>SUM(J17:J24)</f>
        <v/>
      </c>
      <c r="K25" s="74">
        <f>SUM(K17:K24)</f>
        <v/>
      </c>
      <c r="L25" s="74">
        <f>SUM(L17:L24)</f>
        <v/>
      </c>
      <c r="M25" s="74">
        <f>SUM(M17:M24)</f>
        <v/>
      </c>
      <c r="N25" s="74">
        <f>SUM(N17:N24)</f>
        <v/>
      </c>
      <c r="O25" s="74">
        <f>SUM(O17:O24)</f>
        <v/>
      </c>
      <c r="P25" s="74">
        <f>SUM(P17:P24)</f>
        <v/>
      </c>
      <c r="Q25" s="74">
        <f>SUM(Q17:Q24)</f>
        <v/>
      </c>
      <c r="R25" s="74">
        <f>SUM(R17:R24)</f>
        <v/>
      </c>
      <c r="S25" s="74">
        <f>SUM(S17:S24)</f>
        <v/>
      </c>
      <c r="T25" s="74">
        <f>SUM(T17:T24)</f>
        <v/>
      </c>
      <c r="U25" s="74">
        <f>SUM(U17:U24)</f>
        <v/>
      </c>
      <c r="V25" s="74">
        <f>SUM(V17:V24)</f>
        <v/>
      </c>
      <c r="W25" s="74">
        <f>SUM(W17:W24)</f>
        <v/>
      </c>
      <c r="X25" s="74">
        <f>SUM(X17:X24)</f>
        <v/>
      </c>
      <c r="Y25" s="74">
        <f>SUM(Y17:Y24)</f>
        <v/>
      </c>
      <c r="Z25" s="74">
        <f>SUM(Z17:Z24)</f>
        <v/>
      </c>
      <c r="AA25" s="74">
        <f>SUM(AA17:AA24)</f>
        <v/>
      </c>
      <c r="AB25" s="74">
        <f>SUM(AB17:AB24)</f>
        <v/>
      </c>
      <c r="AC25" s="74">
        <f>SUM(AC17:AC24)</f>
        <v/>
      </c>
      <c r="AD25" s="74">
        <f>SUM(AD17:AD24)</f>
        <v/>
      </c>
      <c r="AE25" s="74">
        <f>SUM(AE17:AE24)</f>
        <v/>
      </c>
      <c r="AF25" s="74">
        <f>SUM(AF17:AF24)</f>
        <v/>
      </c>
      <c r="AG25" s="74">
        <f>SUM(AG17:AG24)</f>
        <v/>
      </c>
      <c r="AH25" s="74">
        <f>SUM(AH17:AH24)</f>
        <v/>
      </c>
      <c r="AI25" s="74">
        <f>SUM(AI17:AI24)</f>
        <v/>
      </c>
      <c r="AJ25" s="74">
        <f>SUM(AJ17:AJ24)</f>
        <v/>
      </c>
      <c r="AK25" s="74">
        <f>SUM(AK17:AK24)</f>
        <v/>
      </c>
      <c r="AL25" s="74">
        <f>SUM(AL17:AL24)</f>
        <v/>
      </c>
      <c r="AM25" s="74">
        <f>SUM(AM17:AM24)</f>
        <v/>
      </c>
      <c r="AN25" s="74">
        <f>SUM(AN17:AN24)</f>
        <v/>
      </c>
      <c r="AO25" s="74">
        <f>SUM(AO17:AO24)</f>
        <v/>
      </c>
      <c r="AP25" s="74">
        <f>SUM(AP17:AP24)</f>
        <v/>
      </c>
      <c r="AQ25" s="74">
        <f>SUM(AQ17:AQ24)</f>
        <v/>
      </c>
      <c r="AR25" s="74">
        <f>SUM(AR17:AR24)</f>
        <v/>
      </c>
      <c r="AS25" s="74">
        <f>SUM(AS17:AS24)</f>
        <v/>
      </c>
      <c r="AT25" s="74">
        <f>SUM(AT17:AT24)</f>
        <v/>
      </c>
      <c r="AU25" s="74">
        <f>SUM(AU17:AU24)</f>
        <v/>
      </c>
      <c r="AV25" s="74">
        <f>SUM(AV17:AV24)</f>
        <v/>
      </c>
      <c r="AW25" s="74">
        <f>SUM(AW17:AW24)</f>
        <v/>
      </c>
      <c r="AX25" s="74">
        <f>SUM(AX17:AX24)</f>
        <v/>
      </c>
      <c r="AY25" s="74">
        <f>SUM(AY17:AY24)</f>
        <v/>
      </c>
      <c r="AZ25" s="74">
        <f>SUM(AZ17:AZ24)</f>
        <v/>
      </c>
      <c r="BA25" s="74">
        <f>SUM(BA17:BA24)</f>
        <v/>
      </c>
      <c r="BB25" s="74">
        <f>SUM(BB17:BB24)</f>
        <v/>
      </c>
      <c r="BC25" s="74">
        <f>SUM(BC17:BC24)</f>
        <v/>
      </c>
      <c r="BD25" s="74">
        <f>SUM(BD17:BD24)</f>
        <v/>
      </c>
      <c r="BE25" s="74">
        <f>SUM(BE17:BE24)</f>
        <v/>
      </c>
      <c r="BF25" s="74">
        <f>SUM(BF17:BF24)</f>
        <v/>
      </c>
      <c r="BG25" s="74">
        <f>SUM(BG17:BG24)</f>
        <v/>
      </c>
      <c r="BH25" s="74">
        <f>SUM(BH17:BH24)</f>
        <v/>
      </c>
      <c r="BI25" s="74">
        <f>SUM(BI17:BI24)</f>
        <v/>
      </c>
      <c r="BJ25" s="74">
        <f>SUM(BJ17:BJ24)</f>
        <v/>
      </c>
      <c r="BK25" s="74">
        <f>SUM(BK17:BK24)</f>
        <v/>
      </c>
    </row>
    <row r="26">
      <c r="A26" s="66" t="inlineStr">
        <is>
          <t>NET CASH FLOW</t>
        </is>
      </c>
      <c r="B26" s="94" t="n"/>
      <c r="C26" s="95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  <c r="AB26" s="67" t="n"/>
      <c r="AC26" s="67" t="n"/>
      <c r="AD26" s="67" t="n"/>
      <c r="AE26" s="67" t="n"/>
      <c r="AF26" s="67" t="n"/>
      <c r="AG26" s="67" t="n"/>
      <c r="AH26" s="67" t="n"/>
      <c r="AI26" s="67" t="n"/>
      <c r="AJ26" s="67" t="n"/>
      <c r="AK26" s="67" t="n"/>
      <c r="AL26" s="67" t="n"/>
      <c r="AM26" s="67" t="n"/>
      <c r="AN26" s="67" t="n"/>
      <c r="AO26" s="67" t="n"/>
      <c r="AP26" s="67" t="n"/>
      <c r="AQ26" s="67" t="n"/>
      <c r="AR26" s="67" t="n"/>
      <c r="AS26" s="67" t="n"/>
      <c r="AT26" s="67" t="n"/>
      <c r="AU26" s="67" t="n"/>
      <c r="AV26" s="67" t="n"/>
      <c r="AW26" s="67" t="n"/>
      <c r="AX26" s="67" t="n"/>
      <c r="AY26" s="67" t="n"/>
      <c r="AZ26" s="67" t="n"/>
      <c r="BA26" s="67" t="n"/>
      <c r="BB26" s="67" t="n"/>
      <c r="BC26" s="67" t="n"/>
      <c r="BD26" s="67" t="n"/>
      <c r="BE26" s="67" t="n"/>
      <c r="BF26" s="67" t="n"/>
      <c r="BG26" s="67" t="n"/>
      <c r="BH26" s="67" t="n"/>
      <c r="BI26" s="67" t="n"/>
      <c r="BJ26" s="67" t="n"/>
      <c r="BK26" s="67" t="n"/>
    </row>
    <row r="27">
      <c r="A27" s="73" t="inlineStr">
        <is>
          <t xml:space="preserve">  Daily Net Position</t>
        </is>
      </c>
      <c r="B27" s="52" t="n"/>
      <c r="C27" s="53" t="n"/>
      <c r="D27" s="75">
        <f>D15-D25</f>
        <v/>
      </c>
      <c r="E27" s="75">
        <f>E15-E25</f>
        <v/>
      </c>
      <c r="F27" s="75">
        <f>F15-F25</f>
        <v/>
      </c>
      <c r="G27" s="75">
        <f>G15-G25</f>
        <v/>
      </c>
      <c r="H27" s="75">
        <f>H15-H25</f>
        <v/>
      </c>
      <c r="I27" s="75">
        <f>I15-I25</f>
        <v/>
      </c>
      <c r="J27" s="75">
        <f>J15-J25</f>
        <v/>
      </c>
      <c r="K27" s="75">
        <f>K15-K25</f>
        <v/>
      </c>
      <c r="L27" s="75">
        <f>L15-L25</f>
        <v/>
      </c>
      <c r="M27" s="75">
        <f>M15-M25</f>
        <v/>
      </c>
      <c r="N27" s="75">
        <f>N15-N25</f>
        <v/>
      </c>
      <c r="O27" s="75">
        <f>O15-O25</f>
        <v/>
      </c>
      <c r="P27" s="75">
        <f>P15-P25</f>
        <v/>
      </c>
      <c r="Q27" s="75">
        <f>Q15-Q25</f>
        <v/>
      </c>
      <c r="R27" s="75">
        <f>R15-R25</f>
        <v/>
      </c>
      <c r="S27" s="75">
        <f>S15-S25</f>
        <v/>
      </c>
      <c r="T27" s="75">
        <f>T15-T25</f>
        <v/>
      </c>
      <c r="U27" s="75">
        <f>U15-U25</f>
        <v/>
      </c>
      <c r="V27" s="75">
        <f>V15-V25</f>
        <v/>
      </c>
      <c r="W27" s="75">
        <f>W15-W25</f>
        <v/>
      </c>
      <c r="X27" s="75">
        <f>X15-X25</f>
        <v/>
      </c>
      <c r="Y27" s="75">
        <f>Y15-Y25</f>
        <v/>
      </c>
      <c r="Z27" s="75">
        <f>Z15-Z25</f>
        <v/>
      </c>
      <c r="AA27" s="75">
        <f>AA15-AA25</f>
        <v/>
      </c>
      <c r="AB27" s="75">
        <f>AB15-AB25</f>
        <v/>
      </c>
      <c r="AC27" s="75">
        <f>AC15-AC25</f>
        <v/>
      </c>
      <c r="AD27" s="75">
        <f>AD15-AD25</f>
        <v/>
      </c>
      <c r="AE27" s="75">
        <f>AE15-AE25</f>
        <v/>
      </c>
      <c r="AF27" s="75">
        <f>AF15-AF25</f>
        <v/>
      </c>
      <c r="AG27" s="75">
        <f>AG15-AG25</f>
        <v/>
      </c>
      <c r="AH27" s="75">
        <f>AH15-AH25</f>
        <v/>
      </c>
      <c r="AI27" s="75">
        <f>AI15-AI25</f>
        <v/>
      </c>
      <c r="AJ27" s="75">
        <f>AJ15-AJ25</f>
        <v/>
      </c>
      <c r="AK27" s="75">
        <f>AK15-AK25</f>
        <v/>
      </c>
      <c r="AL27" s="75">
        <f>AL15-AL25</f>
        <v/>
      </c>
      <c r="AM27" s="75">
        <f>AM15-AM25</f>
        <v/>
      </c>
      <c r="AN27" s="75">
        <f>AN15-AN25</f>
        <v/>
      </c>
      <c r="AO27" s="75">
        <f>AO15-AO25</f>
        <v/>
      </c>
      <c r="AP27" s="75">
        <f>AP15-AP25</f>
        <v/>
      </c>
      <c r="AQ27" s="75">
        <f>AQ15-AQ25</f>
        <v/>
      </c>
      <c r="AR27" s="75">
        <f>AR15-AR25</f>
        <v/>
      </c>
      <c r="AS27" s="75">
        <f>AS15-AS25</f>
        <v/>
      </c>
      <c r="AT27" s="75">
        <f>AT15-AT25</f>
        <v/>
      </c>
      <c r="AU27" s="75">
        <f>AU15-AU25</f>
        <v/>
      </c>
      <c r="AV27" s="75">
        <f>AV15-AV25</f>
        <v/>
      </c>
      <c r="AW27" s="75">
        <f>AW15-AW25</f>
        <v/>
      </c>
      <c r="AX27" s="75">
        <f>AX15-AX25</f>
        <v/>
      </c>
      <c r="AY27" s="75">
        <f>AY15-AY25</f>
        <v/>
      </c>
      <c r="AZ27" s="75">
        <f>AZ15-AZ25</f>
        <v/>
      </c>
      <c r="BA27" s="75">
        <f>BA15-BA25</f>
        <v/>
      </c>
      <c r="BB27" s="75">
        <f>BB15-BB25</f>
        <v/>
      </c>
      <c r="BC27" s="75">
        <f>BC15-BC25</f>
        <v/>
      </c>
      <c r="BD27" s="75">
        <f>BD15-BD25</f>
        <v/>
      </c>
      <c r="BE27" s="75">
        <f>BE15-BE25</f>
        <v/>
      </c>
      <c r="BF27" s="75">
        <f>BF15-BF25</f>
        <v/>
      </c>
      <c r="BG27" s="75">
        <f>BG15-BG25</f>
        <v/>
      </c>
      <c r="BH27" s="75">
        <f>BH15-BH25</f>
        <v/>
      </c>
      <c r="BI27" s="75">
        <f>BI15-BI25</f>
        <v/>
      </c>
      <c r="BJ27" s="75">
        <f>BJ15-BJ25</f>
        <v/>
      </c>
      <c r="BK27" s="75">
        <f>BK15-BK25</f>
        <v/>
      </c>
    </row>
    <row r="28">
      <c r="A28" s="66" t="inlineStr">
        <is>
          <t>CLOSING BALANCE</t>
        </is>
      </c>
      <c r="B28" s="94" t="n"/>
      <c r="C28" s="95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  <c r="AD28" s="67" t="n"/>
      <c r="AE28" s="67" t="n"/>
      <c r="AF28" s="67" t="n"/>
      <c r="AG28" s="67" t="n"/>
      <c r="AH28" s="67" t="n"/>
      <c r="AI28" s="67" t="n"/>
      <c r="AJ28" s="67" t="n"/>
      <c r="AK28" s="67" t="n"/>
      <c r="AL28" s="67" t="n"/>
      <c r="AM28" s="67" t="n"/>
      <c r="AN28" s="67" t="n"/>
      <c r="AO28" s="67" t="n"/>
      <c r="AP28" s="67" t="n"/>
      <c r="AQ28" s="67" t="n"/>
      <c r="AR28" s="67" t="n"/>
      <c r="AS28" s="67" t="n"/>
      <c r="AT28" s="67" t="n"/>
      <c r="AU28" s="67" t="n"/>
      <c r="AV28" s="67" t="n"/>
      <c r="AW28" s="67" t="n"/>
      <c r="AX28" s="67" t="n"/>
      <c r="AY28" s="67" t="n"/>
      <c r="AZ28" s="67" t="n"/>
      <c r="BA28" s="67" t="n"/>
      <c r="BB28" s="67" t="n"/>
      <c r="BC28" s="67" t="n"/>
      <c r="BD28" s="67" t="n"/>
      <c r="BE28" s="67" t="n"/>
      <c r="BF28" s="67" t="n"/>
      <c r="BG28" s="67" t="n"/>
      <c r="BH28" s="67" t="n"/>
      <c r="BI28" s="67" t="n"/>
      <c r="BJ28" s="67" t="n"/>
      <c r="BK28" s="67" t="n"/>
    </row>
    <row r="29">
      <c r="A29" s="73" t="inlineStr">
        <is>
          <t xml:space="preserve">  Closing Cash Position (SAR)</t>
        </is>
      </c>
      <c r="B29" s="52" t="n"/>
      <c r="C29" s="53" t="n"/>
      <c r="D29" s="74">
        <f>D10+D27</f>
        <v/>
      </c>
      <c r="E29" s="74">
        <f>E10+E27</f>
        <v/>
      </c>
      <c r="F29" s="74">
        <f>F10+F27</f>
        <v/>
      </c>
      <c r="G29" s="74">
        <f>G10+G27</f>
        <v/>
      </c>
      <c r="H29" s="74">
        <f>H10+H27</f>
        <v/>
      </c>
      <c r="I29" s="74">
        <f>I10+I27</f>
        <v/>
      </c>
      <c r="J29" s="74">
        <f>J10+J27</f>
        <v/>
      </c>
      <c r="K29" s="74">
        <f>K10+K27</f>
        <v/>
      </c>
      <c r="L29" s="74">
        <f>L10+L27</f>
        <v/>
      </c>
      <c r="M29" s="74">
        <f>M10+M27</f>
        <v/>
      </c>
      <c r="N29" s="74">
        <f>N10+N27</f>
        <v/>
      </c>
      <c r="O29" s="74">
        <f>O10+O27</f>
        <v/>
      </c>
      <c r="P29" s="74">
        <f>P10+P27</f>
        <v/>
      </c>
      <c r="Q29" s="74">
        <f>Q10+Q27</f>
        <v/>
      </c>
      <c r="R29" s="74">
        <f>R10+R27</f>
        <v/>
      </c>
      <c r="S29" s="74">
        <f>S10+S27</f>
        <v/>
      </c>
      <c r="T29" s="74">
        <f>T10+T27</f>
        <v/>
      </c>
      <c r="U29" s="74">
        <f>U10+U27</f>
        <v/>
      </c>
      <c r="V29" s="74">
        <f>V10+V27</f>
        <v/>
      </c>
      <c r="W29" s="74">
        <f>W10+W27</f>
        <v/>
      </c>
      <c r="X29" s="74">
        <f>X10+X27</f>
        <v/>
      </c>
      <c r="Y29" s="74">
        <f>Y10+Y27</f>
        <v/>
      </c>
      <c r="Z29" s="74">
        <f>Z10+Z27</f>
        <v/>
      </c>
      <c r="AA29" s="74">
        <f>AA10+AA27</f>
        <v/>
      </c>
      <c r="AB29" s="74">
        <f>AB10+AB27</f>
        <v/>
      </c>
      <c r="AC29" s="74">
        <f>AC10+AC27</f>
        <v/>
      </c>
      <c r="AD29" s="74">
        <f>AD10+AD27</f>
        <v/>
      </c>
      <c r="AE29" s="74">
        <f>AE10+AE27</f>
        <v/>
      </c>
      <c r="AF29" s="74">
        <f>AF10+AF27</f>
        <v/>
      </c>
      <c r="AG29" s="74">
        <f>AG10+AG27</f>
        <v/>
      </c>
      <c r="AH29" s="74">
        <f>AH10+AH27</f>
        <v/>
      </c>
      <c r="AI29" s="74">
        <f>AI10+AI27</f>
        <v/>
      </c>
      <c r="AJ29" s="74">
        <f>AJ10+AJ27</f>
        <v/>
      </c>
      <c r="AK29" s="74">
        <f>AK10+AK27</f>
        <v/>
      </c>
      <c r="AL29" s="74">
        <f>AL10+AL27</f>
        <v/>
      </c>
      <c r="AM29" s="74">
        <f>AM10+AM27</f>
        <v/>
      </c>
      <c r="AN29" s="74">
        <f>AN10+AN27</f>
        <v/>
      </c>
      <c r="AO29" s="74">
        <f>AO10+AO27</f>
        <v/>
      </c>
      <c r="AP29" s="74">
        <f>AP10+AP27</f>
        <v/>
      </c>
      <c r="AQ29" s="74">
        <f>AQ10+AQ27</f>
        <v/>
      </c>
      <c r="AR29" s="74">
        <f>AR10+AR27</f>
        <v/>
      </c>
      <c r="AS29" s="74">
        <f>AS10+AS27</f>
        <v/>
      </c>
      <c r="AT29" s="74">
        <f>AT10+AT27</f>
        <v/>
      </c>
      <c r="AU29" s="74">
        <f>AU10+AU27</f>
        <v/>
      </c>
      <c r="AV29" s="74">
        <f>AV10+AV27</f>
        <v/>
      </c>
      <c r="AW29" s="74">
        <f>AW10+AW27</f>
        <v/>
      </c>
      <c r="AX29" s="74">
        <f>AX10+AX27</f>
        <v/>
      </c>
      <c r="AY29" s="74">
        <f>AY10+AY27</f>
        <v/>
      </c>
      <c r="AZ29" s="74">
        <f>AZ10+AZ27</f>
        <v/>
      </c>
      <c r="BA29" s="74">
        <f>BA10+BA27</f>
        <v/>
      </c>
      <c r="BB29" s="74">
        <f>BB10+BB27</f>
        <v/>
      </c>
      <c r="BC29" s="74">
        <f>BC10+BC27</f>
        <v/>
      </c>
      <c r="BD29" s="74">
        <f>BD10+BD27</f>
        <v/>
      </c>
      <c r="BE29" s="74">
        <f>BE10+BE27</f>
        <v/>
      </c>
      <c r="BF29" s="74">
        <f>BF10+BF27</f>
        <v/>
      </c>
      <c r="BG29" s="74">
        <f>BG10+BG27</f>
        <v/>
      </c>
      <c r="BH29" s="74">
        <f>BH10+BH27</f>
        <v/>
      </c>
      <c r="BI29" s="74">
        <f>BI10+BI27</f>
        <v/>
      </c>
      <c r="BJ29" s="74">
        <f>BJ10+BJ27</f>
        <v/>
      </c>
      <c r="BK29" s="74">
        <f>BK10+BK27</f>
        <v/>
      </c>
    </row>
    <row r="30">
      <c r="A30" s="66" t="inlineStr">
        <is>
          <t>CUMULATIVE ANALYSIS</t>
        </is>
      </c>
      <c r="B30" s="94" t="n"/>
      <c r="C30" s="95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  <c r="AZ30" s="67" t="n"/>
      <c r="BA30" s="67" t="n"/>
      <c r="BB30" s="67" t="n"/>
      <c r="BC30" s="67" t="n"/>
      <c r="BD30" s="67" t="n"/>
      <c r="BE30" s="67" t="n"/>
      <c r="BF30" s="67" t="n"/>
      <c r="BG30" s="67" t="n"/>
      <c r="BH30" s="67" t="n"/>
      <c r="BI30" s="67" t="n"/>
      <c r="BJ30" s="67" t="n"/>
      <c r="BK30" s="67" t="n"/>
    </row>
    <row r="31">
      <c r="A31" s="68" t="inlineStr">
        <is>
          <t xml:space="preserve">  Cumulative Inflows</t>
        </is>
      </c>
      <c r="B31" s="52" t="n"/>
      <c r="C31" s="53" t="n"/>
      <c r="D31" s="70">
        <f>D15</f>
        <v/>
      </c>
      <c r="E31" s="70">
        <f>D31+E15</f>
        <v/>
      </c>
      <c r="F31" s="70">
        <f>E31+F15</f>
        <v/>
      </c>
      <c r="G31" s="70">
        <f>F31+G15</f>
        <v/>
      </c>
      <c r="H31" s="70">
        <f>G31+H15</f>
        <v/>
      </c>
      <c r="I31" s="71">
        <f>H31+I15</f>
        <v/>
      </c>
      <c r="J31" s="72">
        <f>I31+J15</f>
        <v/>
      </c>
      <c r="K31" s="70">
        <f>J31+K15</f>
        <v/>
      </c>
      <c r="L31" s="70">
        <f>K31+L15</f>
        <v/>
      </c>
      <c r="M31" s="70">
        <f>L31+M15</f>
        <v/>
      </c>
      <c r="N31" s="70">
        <f>M31+N15</f>
        <v/>
      </c>
      <c r="O31" s="70">
        <f>N31+O15</f>
        <v/>
      </c>
      <c r="P31" s="71">
        <f>O31+P15</f>
        <v/>
      </c>
      <c r="Q31" s="72">
        <f>P31+Q15</f>
        <v/>
      </c>
      <c r="R31" s="70">
        <f>Q31+R15</f>
        <v/>
      </c>
      <c r="S31" s="70">
        <f>R31+S15</f>
        <v/>
      </c>
      <c r="T31" s="70">
        <f>S31+T15</f>
        <v/>
      </c>
      <c r="U31" s="70">
        <f>T31+U15</f>
        <v/>
      </c>
      <c r="V31" s="70">
        <f>U31+V15</f>
        <v/>
      </c>
      <c r="W31" s="71">
        <f>V31+W15</f>
        <v/>
      </c>
      <c r="X31" s="72">
        <f>W31+X15</f>
        <v/>
      </c>
      <c r="Y31" s="70">
        <f>X31+Y15</f>
        <v/>
      </c>
      <c r="Z31" s="70">
        <f>Y31+Z15</f>
        <v/>
      </c>
      <c r="AA31" s="70">
        <f>Z31+AA15</f>
        <v/>
      </c>
      <c r="AB31" s="70">
        <f>AA31+AB15</f>
        <v/>
      </c>
      <c r="AC31" s="70">
        <f>AB31+AC15</f>
        <v/>
      </c>
      <c r="AD31" s="71">
        <f>AC31+AD15</f>
        <v/>
      </c>
      <c r="AE31" s="72">
        <f>AD31+AE15</f>
        <v/>
      </c>
      <c r="AF31" s="70">
        <f>AE31+AF15</f>
        <v/>
      </c>
      <c r="AG31" s="70">
        <f>AF31+AG15</f>
        <v/>
      </c>
      <c r="AH31" s="70">
        <f>AG31+AH15</f>
        <v/>
      </c>
      <c r="AI31" s="70">
        <f>AH31+AI15</f>
        <v/>
      </c>
      <c r="AJ31" s="70">
        <f>AI31+AJ15</f>
        <v/>
      </c>
      <c r="AK31" s="71">
        <f>AJ31+AK15</f>
        <v/>
      </c>
      <c r="AL31" s="72">
        <f>AK31+AL15</f>
        <v/>
      </c>
      <c r="AM31" s="70">
        <f>AL31+AM15</f>
        <v/>
      </c>
      <c r="AN31" s="70">
        <f>AM31+AN15</f>
        <v/>
      </c>
      <c r="AO31" s="70">
        <f>AN31+AO15</f>
        <v/>
      </c>
      <c r="AP31" s="70">
        <f>AO31+AP15</f>
        <v/>
      </c>
      <c r="AQ31" s="70">
        <f>AP31+AQ15</f>
        <v/>
      </c>
      <c r="AR31" s="71">
        <f>AQ31+AR15</f>
        <v/>
      </c>
      <c r="AS31" s="72">
        <f>AR31+AS15</f>
        <v/>
      </c>
      <c r="AT31" s="70">
        <f>AS31+AT15</f>
        <v/>
      </c>
      <c r="AU31" s="70">
        <f>AT31+AU15</f>
        <v/>
      </c>
      <c r="AV31" s="70">
        <f>AU31+AV15</f>
        <v/>
      </c>
      <c r="AW31" s="70">
        <f>AV31+AW15</f>
        <v/>
      </c>
      <c r="AX31" s="70">
        <f>AW31+AX15</f>
        <v/>
      </c>
      <c r="AY31" s="71">
        <f>AX31+AY15</f>
        <v/>
      </c>
      <c r="AZ31" s="72">
        <f>AY31+AZ15</f>
        <v/>
      </c>
      <c r="BA31" s="70">
        <f>AZ31+BA15</f>
        <v/>
      </c>
      <c r="BB31" s="70">
        <f>BA31+BB15</f>
        <v/>
      </c>
      <c r="BC31" s="70">
        <f>BB31+BC15</f>
        <v/>
      </c>
      <c r="BD31" s="70">
        <f>BC31+BD15</f>
        <v/>
      </c>
      <c r="BE31" s="70">
        <f>BD31+BE15</f>
        <v/>
      </c>
      <c r="BF31" s="71">
        <f>BE31+BF15</f>
        <v/>
      </c>
      <c r="BG31" s="72">
        <f>BF31+BG15</f>
        <v/>
      </c>
      <c r="BH31" s="70">
        <f>BG31+BH15</f>
        <v/>
      </c>
      <c r="BI31" s="70">
        <f>BH31+BI15</f>
        <v/>
      </c>
      <c r="BJ31" s="70">
        <f>BI31+BJ15</f>
        <v/>
      </c>
      <c r="BK31" s="70">
        <f>BJ31+BK15</f>
        <v/>
      </c>
    </row>
    <row r="32">
      <c r="A32" s="68" t="inlineStr">
        <is>
          <t xml:space="preserve">  Cumulative Outflows</t>
        </is>
      </c>
      <c r="B32" s="52" t="n"/>
      <c r="C32" s="53" t="n"/>
      <c r="D32" s="70">
        <f>D25</f>
        <v/>
      </c>
      <c r="E32" s="70">
        <f>D32+E25</f>
        <v/>
      </c>
      <c r="F32" s="70">
        <f>E32+F25</f>
        <v/>
      </c>
      <c r="G32" s="70">
        <f>F32+G25</f>
        <v/>
      </c>
      <c r="H32" s="70">
        <f>G32+H25</f>
        <v/>
      </c>
      <c r="I32" s="71">
        <f>H32+I25</f>
        <v/>
      </c>
      <c r="J32" s="72">
        <f>I32+J25</f>
        <v/>
      </c>
      <c r="K32" s="70">
        <f>J32+K25</f>
        <v/>
      </c>
      <c r="L32" s="70">
        <f>K32+L25</f>
        <v/>
      </c>
      <c r="M32" s="70">
        <f>L32+M25</f>
        <v/>
      </c>
      <c r="N32" s="70">
        <f>M32+N25</f>
        <v/>
      </c>
      <c r="O32" s="70">
        <f>N32+O25</f>
        <v/>
      </c>
      <c r="P32" s="71">
        <f>O32+P25</f>
        <v/>
      </c>
      <c r="Q32" s="72">
        <f>P32+Q25</f>
        <v/>
      </c>
      <c r="R32" s="70">
        <f>Q32+R25</f>
        <v/>
      </c>
      <c r="S32" s="70">
        <f>R32+S25</f>
        <v/>
      </c>
      <c r="T32" s="70">
        <f>S32+T25</f>
        <v/>
      </c>
      <c r="U32" s="70">
        <f>T32+U25</f>
        <v/>
      </c>
      <c r="V32" s="70">
        <f>U32+V25</f>
        <v/>
      </c>
      <c r="W32" s="71">
        <f>V32+W25</f>
        <v/>
      </c>
      <c r="X32" s="72">
        <f>W32+X25</f>
        <v/>
      </c>
      <c r="Y32" s="70">
        <f>X32+Y25</f>
        <v/>
      </c>
      <c r="Z32" s="70">
        <f>Y32+Z25</f>
        <v/>
      </c>
      <c r="AA32" s="70">
        <f>Z32+AA25</f>
        <v/>
      </c>
      <c r="AB32" s="70">
        <f>AA32+AB25</f>
        <v/>
      </c>
      <c r="AC32" s="70">
        <f>AB32+AC25</f>
        <v/>
      </c>
      <c r="AD32" s="71">
        <f>AC32+AD25</f>
        <v/>
      </c>
      <c r="AE32" s="72">
        <f>AD32+AE25</f>
        <v/>
      </c>
      <c r="AF32" s="70">
        <f>AE32+AF25</f>
        <v/>
      </c>
      <c r="AG32" s="70">
        <f>AF32+AG25</f>
        <v/>
      </c>
      <c r="AH32" s="70">
        <f>AG32+AH25</f>
        <v/>
      </c>
      <c r="AI32" s="70">
        <f>AH32+AI25</f>
        <v/>
      </c>
      <c r="AJ32" s="70">
        <f>AI32+AJ25</f>
        <v/>
      </c>
      <c r="AK32" s="71">
        <f>AJ32+AK25</f>
        <v/>
      </c>
      <c r="AL32" s="72">
        <f>AK32+AL25</f>
        <v/>
      </c>
      <c r="AM32" s="70">
        <f>AL32+AM25</f>
        <v/>
      </c>
      <c r="AN32" s="70">
        <f>AM32+AN25</f>
        <v/>
      </c>
      <c r="AO32" s="70">
        <f>AN32+AO25</f>
        <v/>
      </c>
      <c r="AP32" s="70">
        <f>AO32+AP25</f>
        <v/>
      </c>
      <c r="AQ32" s="70">
        <f>AP32+AQ25</f>
        <v/>
      </c>
      <c r="AR32" s="71">
        <f>AQ32+AR25</f>
        <v/>
      </c>
      <c r="AS32" s="72">
        <f>AR32+AS25</f>
        <v/>
      </c>
      <c r="AT32" s="70">
        <f>AS32+AT25</f>
        <v/>
      </c>
      <c r="AU32" s="70">
        <f>AT32+AU25</f>
        <v/>
      </c>
      <c r="AV32" s="70">
        <f>AU32+AV25</f>
        <v/>
      </c>
      <c r="AW32" s="70">
        <f>AV32+AW25</f>
        <v/>
      </c>
      <c r="AX32" s="70">
        <f>AW32+AX25</f>
        <v/>
      </c>
      <c r="AY32" s="71">
        <f>AX32+AY25</f>
        <v/>
      </c>
      <c r="AZ32" s="72">
        <f>AY32+AZ25</f>
        <v/>
      </c>
      <c r="BA32" s="70">
        <f>AZ32+BA25</f>
        <v/>
      </c>
      <c r="BB32" s="70">
        <f>BA32+BB25</f>
        <v/>
      </c>
      <c r="BC32" s="70">
        <f>BB32+BC25</f>
        <v/>
      </c>
      <c r="BD32" s="70">
        <f>BC32+BD25</f>
        <v/>
      </c>
      <c r="BE32" s="70">
        <f>BD32+BE25</f>
        <v/>
      </c>
      <c r="BF32" s="71">
        <f>BE32+BF25</f>
        <v/>
      </c>
      <c r="BG32" s="72">
        <f>BF32+BG25</f>
        <v/>
      </c>
      <c r="BH32" s="70">
        <f>BG32+BH25</f>
        <v/>
      </c>
      <c r="BI32" s="70">
        <f>BH32+BI25</f>
        <v/>
      </c>
      <c r="BJ32" s="70">
        <f>BI32+BJ25</f>
        <v/>
      </c>
      <c r="BK32" s="70">
        <f>BJ32+BK25</f>
        <v/>
      </c>
    </row>
    <row r="33">
      <c r="A33" s="73" t="inlineStr">
        <is>
          <t xml:space="preserve">  Running Balance</t>
        </is>
      </c>
      <c r="B33" s="52" t="n"/>
      <c r="C33" s="53" t="n"/>
      <c r="D33" s="75">
        <f>D29</f>
        <v/>
      </c>
      <c r="E33" s="75">
        <f>E29</f>
        <v/>
      </c>
      <c r="F33" s="75">
        <f>F29</f>
        <v/>
      </c>
      <c r="G33" s="75">
        <f>G29</f>
        <v/>
      </c>
      <c r="H33" s="75">
        <f>H29</f>
        <v/>
      </c>
      <c r="I33" s="75">
        <f>I29</f>
        <v/>
      </c>
      <c r="J33" s="75">
        <f>J29</f>
        <v/>
      </c>
      <c r="K33" s="75">
        <f>K29</f>
        <v/>
      </c>
      <c r="L33" s="75">
        <f>L29</f>
        <v/>
      </c>
      <c r="M33" s="75">
        <f>M29</f>
        <v/>
      </c>
      <c r="N33" s="75">
        <f>N29</f>
        <v/>
      </c>
      <c r="O33" s="75">
        <f>O29</f>
        <v/>
      </c>
      <c r="P33" s="75">
        <f>P29</f>
        <v/>
      </c>
      <c r="Q33" s="75">
        <f>Q29</f>
        <v/>
      </c>
      <c r="R33" s="75">
        <f>R29</f>
        <v/>
      </c>
      <c r="S33" s="75">
        <f>S29</f>
        <v/>
      </c>
      <c r="T33" s="75">
        <f>T29</f>
        <v/>
      </c>
      <c r="U33" s="75">
        <f>U29</f>
        <v/>
      </c>
      <c r="V33" s="75">
        <f>V29</f>
        <v/>
      </c>
      <c r="W33" s="75">
        <f>W29</f>
        <v/>
      </c>
      <c r="X33" s="75">
        <f>X29</f>
        <v/>
      </c>
      <c r="Y33" s="75">
        <f>Y29</f>
        <v/>
      </c>
      <c r="Z33" s="75">
        <f>Z29</f>
        <v/>
      </c>
      <c r="AA33" s="75">
        <f>AA29</f>
        <v/>
      </c>
      <c r="AB33" s="75">
        <f>AB29</f>
        <v/>
      </c>
      <c r="AC33" s="75">
        <f>AC29</f>
        <v/>
      </c>
      <c r="AD33" s="75">
        <f>AD29</f>
        <v/>
      </c>
      <c r="AE33" s="75">
        <f>AE29</f>
        <v/>
      </c>
      <c r="AF33" s="75">
        <f>AF29</f>
        <v/>
      </c>
      <c r="AG33" s="75">
        <f>AG29</f>
        <v/>
      </c>
      <c r="AH33" s="75">
        <f>AH29</f>
        <v/>
      </c>
      <c r="AI33" s="75">
        <f>AI29</f>
        <v/>
      </c>
      <c r="AJ33" s="75">
        <f>AJ29</f>
        <v/>
      </c>
      <c r="AK33" s="75">
        <f>AK29</f>
        <v/>
      </c>
      <c r="AL33" s="75">
        <f>AL29</f>
        <v/>
      </c>
      <c r="AM33" s="75">
        <f>AM29</f>
        <v/>
      </c>
      <c r="AN33" s="75">
        <f>AN29</f>
        <v/>
      </c>
      <c r="AO33" s="75">
        <f>AO29</f>
        <v/>
      </c>
      <c r="AP33" s="75">
        <f>AP29</f>
        <v/>
      </c>
      <c r="AQ33" s="75">
        <f>AQ29</f>
        <v/>
      </c>
      <c r="AR33" s="75">
        <f>AR29</f>
        <v/>
      </c>
      <c r="AS33" s="75">
        <f>AS29</f>
        <v/>
      </c>
      <c r="AT33" s="75">
        <f>AT29</f>
        <v/>
      </c>
      <c r="AU33" s="75">
        <f>AU29</f>
        <v/>
      </c>
      <c r="AV33" s="75">
        <f>AV29</f>
        <v/>
      </c>
      <c r="AW33" s="75">
        <f>AW29</f>
        <v/>
      </c>
      <c r="AX33" s="75">
        <f>AX29</f>
        <v/>
      </c>
      <c r="AY33" s="75">
        <f>AY29</f>
        <v/>
      </c>
      <c r="AZ33" s="75">
        <f>AZ29</f>
        <v/>
      </c>
      <c r="BA33" s="75">
        <f>BA29</f>
        <v/>
      </c>
      <c r="BB33" s="75">
        <f>BB29</f>
        <v/>
      </c>
      <c r="BC33" s="75">
        <f>BC29</f>
        <v/>
      </c>
      <c r="BD33" s="75">
        <f>BD29</f>
        <v/>
      </c>
      <c r="BE33" s="75">
        <f>BE29</f>
        <v/>
      </c>
      <c r="BF33" s="75">
        <f>BF29</f>
        <v/>
      </c>
      <c r="BG33" s="75">
        <f>BG29</f>
        <v/>
      </c>
      <c r="BH33" s="75">
        <f>BH29</f>
        <v/>
      </c>
      <c r="BI33" s="75">
        <f>BI29</f>
        <v/>
      </c>
      <c r="BJ33" s="75">
        <f>BJ29</f>
        <v/>
      </c>
      <c r="BK33" s="75">
        <f>BK29</f>
        <v/>
      </c>
    </row>
  </sheetData>
  <mergeCells count="32">
    <mergeCell ref="A25:C25"/>
    <mergeCell ref="A18:C18"/>
    <mergeCell ref="A27:C27"/>
    <mergeCell ref="A3:C3"/>
    <mergeCell ref="A21:C21"/>
    <mergeCell ref="A12:C12"/>
    <mergeCell ref="A26:C26"/>
    <mergeCell ref="A2:C2"/>
    <mergeCell ref="A33:C33"/>
    <mergeCell ref="A5:C5"/>
    <mergeCell ref="A23:C23"/>
    <mergeCell ref="A32:C32"/>
    <mergeCell ref="A14:C14"/>
    <mergeCell ref="A22:C22"/>
    <mergeCell ref="A17:C17"/>
    <mergeCell ref="A29:C29"/>
    <mergeCell ref="A4:C4"/>
    <mergeCell ref="A20:C20"/>
    <mergeCell ref="A10:C10"/>
    <mergeCell ref="A28:C28"/>
    <mergeCell ref="A13:C13"/>
    <mergeCell ref="A19:C19"/>
    <mergeCell ref="A31:C31"/>
    <mergeCell ref="A9:C9"/>
    <mergeCell ref="A30:C30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L49"/>
  <sheetViews>
    <sheetView workbookViewId="0">
      <pane xSplit="4" ySplit="7" topLeftCell="E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5" customHeight="1">
      <c r="A1" s="1" t="inlineStr">
        <is>
          <t>PAYMENT CALENDAR</t>
        </is>
      </c>
    </row>
    <row r="2">
      <c r="A2" s="76" t="inlineStr">
        <is>
          <t>Data sourced from Payment_Data sheet (Single Source of Truth)</t>
        </is>
      </c>
    </row>
    <row r="3">
      <c r="A3" s="77" t="inlineStr">
        <is>
          <t>Category</t>
        </is>
      </c>
      <c r="B3" s="77" t="inlineStr">
        <is>
          <t>Vendor/Payee</t>
        </is>
      </c>
      <c r="C3" s="77" t="inlineStr">
        <is>
          <t>CCY</t>
        </is>
      </c>
      <c r="D3" s="77" t="inlineStr">
        <is>
          <t>Status</t>
        </is>
      </c>
      <c r="E3" s="54" t="n">
        <v>2024</v>
      </c>
      <c r="F3" s="54" t="n">
        <v>2024</v>
      </c>
      <c r="G3" s="54" t="n">
        <v>2024</v>
      </c>
      <c r="H3" s="54" t="n">
        <v>2024</v>
      </c>
      <c r="I3" s="54" t="n">
        <v>2024</v>
      </c>
      <c r="J3" s="54" t="n">
        <v>2024</v>
      </c>
      <c r="K3" s="54" t="n">
        <v>2024</v>
      </c>
      <c r="L3" s="54" t="n">
        <v>2024</v>
      </c>
      <c r="M3" s="54" t="n">
        <v>2024</v>
      </c>
      <c r="N3" s="54" t="n">
        <v>2024</v>
      </c>
      <c r="O3" s="54" t="n">
        <v>2024</v>
      </c>
      <c r="P3" s="54" t="n">
        <v>2024</v>
      </c>
      <c r="Q3" s="54" t="n">
        <v>2024</v>
      </c>
      <c r="R3" s="54" t="n">
        <v>2024</v>
      </c>
      <c r="S3" s="54" t="n">
        <v>2024</v>
      </c>
      <c r="T3" s="54" t="n">
        <v>2024</v>
      </c>
      <c r="U3" s="54" t="n">
        <v>2024</v>
      </c>
      <c r="V3" s="54" t="n">
        <v>2024</v>
      </c>
      <c r="W3" s="54" t="n">
        <v>2024</v>
      </c>
      <c r="X3" s="54" t="n">
        <v>2024</v>
      </c>
      <c r="Y3" s="54" t="n">
        <v>2024</v>
      </c>
      <c r="Z3" s="54" t="n">
        <v>2024</v>
      </c>
      <c r="AA3" s="54" t="n">
        <v>2024</v>
      </c>
      <c r="AB3" s="54" t="n">
        <v>2024</v>
      </c>
      <c r="AC3" s="54" t="n">
        <v>2024</v>
      </c>
      <c r="AD3" s="54" t="n">
        <v>2024</v>
      </c>
      <c r="AE3" s="54" t="n">
        <v>2024</v>
      </c>
      <c r="AF3" s="54" t="n">
        <v>2024</v>
      </c>
      <c r="AG3" s="54" t="n">
        <v>2024</v>
      </c>
      <c r="AH3" s="54" t="n">
        <v>2024</v>
      </c>
      <c r="AI3" s="54" t="n">
        <v>2024</v>
      </c>
      <c r="AJ3" s="54" t="n">
        <v>2025</v>
      </c>
      <c r="AK3" s="54" t="n">
        <v>2025</v>
      </c>
      <c r="AL3" s="54" t="n">
        <v>2025</v>
      </c>
      <c r="AM3" s="54" t="n">
        <v>2025</v>
      </c>
      <c r="AN3" s="54" t="n">
        <v>2025</v>
      </c>
      <c r="AO3" s="54" t="n">
        <v>2025</v>
      </c>
      <c r="AP3" s="54" t="n">
        <v>2025</v>
      </c>
      <c r="AQ3" s="54" t="n">
        <v>2025</v>
      </c>
      <c r="AR3" s="54" t="n">
        <v>2025</v>
      </c>
      <c r="AS3" s="54" t="n">
        <v>2025</v>
      </c>
      <c r="AT3" s="54" t="n">
        <v>2025</v>
      </c>
      <c r="AU3" s="54" t="n">
        <v>2025</v>
      </c>
      <c r="AV3" s="54" t="n">
        <v>2025</v>
      </c>
      <c r="AW3" s="54" t="n">
        <v>2025</v>
      </c>
      <c r="AX3" s="54" t="n">
        <v>2025</v>
      </c>
      <c r="AY3" s="54" t="n">
        <v>2025</v>
      </c>
      <c r="AZ3" s="54" t="n">
        <v>2025</v>
      </c>
      <c r="BA3" s="54" t="n">
        <v>2025</v>
      </c>
      <c r="BB3" s="54" t="n">
        <v>2025</v>
      </c>
      <c r="BC3" s="54" t="n">
        <v>2025</v>
      </c>
      <c r="BD3" s="54" t="n">
        <v>2025</v>
      </c>
      <c r="BE3" s="54" t="n">
        <v>2025</v>
      </c>
      <c r="BF3" s="54" t="n">
        <v>2025</v>
      </c>
      <c r="BG3" s="54" t="n">
        <v>2025</v>
      </c>
      <c r="BH3" s="54" t="n">
        <v>2025</v>
      </c>
      <c r="BI3" s="54" t="n">
        <v>2025</v>
      </c>
      <c r="BJ3" s="54" t="n">
        <v>2025</v>
      </c>
      <c r="BK3" s="54" t="n">
        <v>2025</v>
      </c>
      <c r="BL3" s="54" t="n">
        <v>2025</v>
      </c>
    </row>
    <row r="4">
      <c r="A4" s="96" t="inlineStr">
        <is>
          <t>Month</t>
        </is>
      </c>
      <c r="B4" s="78" t="n"/>
      <c r="C4" s="78" t="n"/>
      <c r="D4" s="78" t="n"/>
      <c r="E4" s="55" t="inlineStr">
        <is>
          <t>Dec</t>
        </is>
      </c>
      <c r="F4" s="55" t="inlineStr">
        <is>
          <t>Dec</t>
        </is>
      </c>
      <c r="G4" s="55" t="inlineStr">
        <is>
          <t>Dec</t>
        </is>
      </c>
      <c r="H4" s="55" t="inlineStr">
        <is>
          <t>Dec</t>
        </is>
      </c>
      <c r="I4" s="55" t="inlineStr">
        <is>
          <t>Dec</t>
        </is>
      </c>
      <c r="J4" s="55" t="inlineStr">
        <is>
          <t>Dec</t>
        </is>
      </c>
      <c r="K4" s="55" t="inlineStr">
        <is>
          <t>Dec</t>
        </is>
      </c>
      <c r="L4" s="55" t="inlineStr">
        <is>
          <t>Dec</t>
        </is>
      </c>
      <c r="M4" s="55" t="inlineStr">
        <is>
          <t>Dec</t>
        </is>
      </c>
      <c r="N4" s="55" t="inlineStr">
        <is>
          <t>Dec</t>
        </is>
      </c>
      <c r="O4" s="55" t="inlineStr">
        <is>
          <t>Dec</t>
        </is>
      </c>
      <c r="P4" s="55" t="inlineStr">
        <is>
          <t>Dec</t>
        </is>
      </c>
      <c r="Q4" s="55" t="inlineStr">
        <is>
          <t>Dec</t>
        </is>
      </c>
      <c r="R4" s="55" t="inlineStr">
        <is>
          <t>Dec</t>
        </is>
      </c>
      <c r="S4" s="55" t="inlineStr">
        <is>
          <t>Dec</t>
        </is>
      </c>
      <c r="T4" s="55" t="inlineStr">
        <is>
          <t>Dec</t>
        </is>
      </c>
      <c r="U4" s="55" t="inlineStr">
        <is>
          <t>Dec</t>
        </is>
      </c>
      <c r="V4" s="55" t="inlineStr">
        <is>
          <t>Dec</t>
        </is>
      </c>
      <c r="W4" s="55" t="inlineStr">
        <is>
          <t>Dec</t>
        </is>
      </c>
      <c r="X4" s="55" t="inlineStr">
        <is>
          <t>Dec</t>
        </is>
      </c>
      <c r="Y4" s="55" t="inlineStr">
        <is>
          <t>Dec</t>
        </is>
      </c>
      <c r="Z4" s="55" t="inlineStr">
        <is>
          <t>Dec</t>
        </is>
      </c>
      <c r="AA4" s="55" t="inlineStr">
        <is>
          <t>Dec</t>
        </is>
      </c>
      <c r="AB4" s="55" t="inlineStr">
        <is>
          <t>Dec</t>
        </is>
      </c>
      <c r="AC4" s="55" t="inlineStr">
        <is>
          <t>Dec</t>
        </is>
      </c>
      <c r="AD4" s="55" t="inlineStr">
        <is>
          <t>Dec</t>
        </is>
      </c>
      <c r="AE4" s="55" t="inlineStr">
        <is>
          <t>Dec</t>
        </is>
      </c>
      <c r="AF4" s="55" t="inlineStr">
        <is>
          <t>Dec</t>
        </is>
      </c>
      <c r="AG4" s="55" t="inlineStr">
        <is>
          <t>Dec</t>
        </is>
      </c>
      <c r="AH4" s="55" t="inlineStr">
        <is>
          <t>Dec</t>
        </is>
      </c>
      <c r="AI4" s="55" t="inlineStr">
        <is>
          <t>Dec</t>
        </is>
      </c>
      <c r="AJ4" s="55" t="inlineStr">
        <is>
          <t>Jan</t>
        </is>
      </c>
      <c r="AK4" s="55" t="inlineStr">
        <is>
          <t>Jan</t>
        </is>
      </c>
      <c r="AL4" s="55" t="inlineStr">
        <is>
          <t>Jan</t>
        </is>
      </c>
      <c r="AM4" s="55" t="inlineStr">
        <is>
          <t>Jan</t>
        </is>
      </c>
      <c r="AN4" s="55" t="inlineStr">
        <is>
          <t>Jan</t>
        </is>
      </c>
      <c r="AO4" s="55" t="inlineStr">
        <is>
          <t>Jan</t>
        </is>
      </c>
      <c r="AP4" s="55" t="inlineStr">
        <is>
          <t>Jan</t>
        </is>
      </c>
      <c r="AQ4" s="55" t="inlineStr">
        <is>
          <t>Jan</t>
        </is>
      </c>
      <c r="AR4" s="55" t="inlineStr">
        <is>
          <t>Jan</t>
        </is>
      </c>
      <c r="AS4" s="55" t="inlineStr">
        <is>
          <t>Jan</t>
        </is>
      </c>
      <c r="AT4" s="55" t="inlineStr">
        <is>
          <t>Jan</t>
        </is>
      </c>
      <c r="AU4" s="55" t="inlineStr">
        <is>
          <t>Jan</t>
        </is>
      </c>
      <c r="AV4" s="55" t="inlineStr">
        <is>
          <t>Jan</t>
        </is>
      </c>
      <c r="AW4" s="55" t="inlineStr">
        <is>
          <t>Jan</t>
        </is>
      </c>
      <c r="AX4" s="55" t="inlineStr">
        <is>
          <t>Jan</t>
        </is>
      </c>
      <c r="AY4" s="55" t="inlineStr">
        <is>
          <t>Jan</t>
        </is>
      </c>
      <c r="AZ4" s="55" t="inlineStr">
        <is>
          <t>Jan</t>
        </is>
      </c>
      <c r="BA4" s="55" t="inlineStr">
        <is>
          <t>Jan</t>
        </is>
      </c>
      <c r="BB4" s="55" t="inlineStr">
        <is>
          <t>Jan</t>
        </is>
      </c>
      <c r="BC4" s="55" t="inlineStr">
        <is>
          <t>Jan</t>
        </is>
      </c>
      <c r="BD4" s="55" t="inlineStr">
        <is>
          <t>Jan</t>
        </is>
      </c>
      <c r="BE4" s="55" t="inlineStr">
        <is>
          <t>Jan</t>
        </is>
      </c>
      <c r="BF4" s="55" t="inlineStr">
        <is>
          <t>Jan</t>
        </is>
      </c>
      <c r="BG4" s="55" t="inlineStr">
        <is>
          <t>Jan</t>
        </is>
      </c>
      <c r="BH4" s="55" t="inlineStr">
        <is>
          <t>Jan</t>
        </is>
      </c>
      <c r="BI4" s="55" t="inlineStr">
        <is>
          <t>Jan</t>
        </is>
      </c>
      <c r="BJ4" s="55" t="inlineStr">
        <is>
          <t>Jan</t>
        </is>
      </c>
      <c r="BK4" s="55" t="inlineStr">
        <is>
          <t>Jan</t>
        </is>
      </c>
      <c r="BL4" s="55" t="inlineStr">
        <is>
          <t>Jan</t>
        </is>
      </c>
    </row>
    <row r="5">
      <c r="A5" s="96" t="inlineStr">
        <is>
          <t>Week</t>
        </is>
      </c>
      <c r="B5" s="78" t="n"/>
      <c r="C5" s="78" t="n"/>
      <c r="D5" s="78" t="n"/>
      <c r="E5" s="56" t="n">
        <v>48</v>
      </c>
      <c r="F5" s="56" t="n">
        <v>49</v>
      </c>
      <c r="G5" s="56" t="n">
        <v>49</v>
      </c>
      <c r="H5" s="56" t="n">
        <v>49</v>
      </c>
      <c r="I5" s="56" t="n">
        <v>49</v>
      </c>
      <c r="J5" s="63" t="n">
        <v>49</v>
      </c>
      <c r="K5" s="64" t="n">
        <v>49</v>
      </c>
      <c r="L5" s="56" t="n">
        <v>49</v>
      </c>
      <c r="M5" s="56" t="n">
        <v>50</v>
      </c>
      <c r="N5" s="56" t="n">
        <v>50</v>
      </c>
      <c r="O5" s="56" t="n">
        <v>50</v>
      </c>
      <c r="P5" s="56" t="n">
        <v>50</v>
      </c>
      <c r="Q5" s="63" t="n">
        <v>50</v>
      </c>
      <c r="R5" s="64" t="n">
        <v>50</v>
      </c>
      <c r="S5" s="56" t="n">
        <v>50</v>
      </c>
      <c r="T5" s="56" t="n">
        <v>51</v>
      </c>
      <c r="U5" s="56" t="n">
        <v>51</v>
      </c>
      <c r="V5" s="56" t="n">
        <v>51</v>
      </c>
      <c r="W5" s="56" t="n">
        <v>51</v>
      </c>
      <c r="X5" s="63" t="n">
        <v>51</v>
      </c>
      <c r="Y5" s="64" t="n">
        <v>51</v>
      </c>
      <c r="Z5" s="56" t="n">
        <v>51</v>
      </c>
      <c r="AA5" s="56" t="n">
        <v>52</v>
      </c>
      <c r="AB5" s="56" t="n">
        <v>52</v>
      </c>
      <c r="AC5" s="56" t="n">
        <v>52</v>
      </c>
      <c r="AD5" s="56" t="n">
        <v>52</v>
      </c>
      <c r="AE5" s="63" t="n">
        <v>52</v>
      </c>
      <c r="AF5" s="64" t="n">
        <v>52</v>
      </c>
      <c r="AG5" s="56" t="n">
        <v>52</v>
      </c>
      <c r="AH5" s="56" t="n">
        <v>1</v>
      </c>
      <c r="AI5" s="56" t="n">
        <v>1</v>
      </c>
      <c r="AJ5" s="56" t="n">
        <v>1</v>
      </c>
      <c r="AK5" s="56" t="n">
        <v>1</v>
      </c>
      <c r="AL5" s="63" t="n">
        <v>1</v>
      </c>
      <c r="AM5" s="64" t="n">
        <v>1</v>
      </c>
      <c r="AN5" s="56" t="n">
        <v>1</v>
      </c>
      <c r="AO5" s="56" t="n">
        <v>2</v>
      </c>
      <c r="AP5" s="56" t="n">
        <v>2</v>
      </c>
      <c r="AQ5" s="56" t="n">
        <v>2</v>
      </c>
      <c r="AR5" s="56" t="n">
        <v>2</v>
      </c>
      <c r="AS5" s="63" t="n">
        <v>2</v>
      </c>
      <c r="AT5" s="64" t="n">
        <v>2</v>
      </c>
      <c r="AU5" s="56" t="n">
        <v>2</v>
      </c>
      <c r="AV5" s="56" t="n">
        <v>3</v>
      </c>
      <c r="AW5" s="56" t="n">
        <v>3</v>
      </c>
      <c r="AX5" s="56" t="n">
        <v>3</v>
      </c>
      <c r="AY5" s="56" t="n">
        <v>3</v>
      </c>
      <c r="AZ5" s="63" t="n">
        <v>3</v>
      </c>
      <c r="BA5" s="64" t="n">
        <v>3</v>
      </c>
      <c r="BB5" s="56" t="n">
        <v>3</v>
      </c>
      <c r="BC5" s="56" t="n">
        <v>4</v>
      </c>
      <c r="BD5" s="56" t="n">
        <v>4</v>
      </c>
      <c r="BE5" s="56" t="n">
        <v>4</v>
      </c>
      <c r="BF5" s="56" t="n">
        <v>4</v>
      </c>
      <c r="BG5" s="63" t="n">
        <v>4</v>
      </c>
      <c r="BH5" s="64" t="n">
        <v>4</v>
      </c>
      <c r="BI5" s="56" t="n">
        <v>4</v>
      </c>
      <c r="BJ5" s="56" t="n">
        <v>5</v>
      </c>
      <c r="BK5" s="56" t="n">
        <v>5</v>
      </c>
      <c r="BL5" s="56" t="n">
        <v>5</v>
      </c>
    </row>
    <row r="6">
      <c r="A6" s="96" t="inlineStr">
        <is>
          <t>Date</t>
        </is>
      </c>
      <c r="B6" s="78" t="n"/>
      <c r="C6" s="78" t="n"/>
      <c r="D6" s="78" t="n"/>
      <c r="E6" s="101" t="n">
        <v>45627</v>
      </c>
      <c r="F6" s="101" t="n">
        <v>45628</v>
      </c>
      <c r="G6" s="101" t="n">
        <v>45629</v>
      </c>
      <c r="H6" s="101" t="n">
        <v>45630</v>
      </c>
      <c r="I6" s="101" t="n">
        <v>45631</v>
      </c>
      <c r="J6" s="102" t="n">
        <v>45632</v>
      </c>
      <c r="K6" s="103" t="n">
        <v>45633</v>
      </c>
      <c r="L6" s="101" t="n">
        <v>45634</v>
      </c>
      <c r="M6" s="101" t="n">
        <v>45635</v>
      </c>
      <c r="N6" s="101" t="n">
        <v>45636</v>
      </c>
      <c r="O6" s="101" t="n">
        <v>45637</v>
      </c>
      <c r="P6" s="101" t="n">
        <v>45638</v>
      </c>
      <c r="Q6" s="102" t="n">
        <v>45639</v>
      </c>
      <c r="R6" s="103" t="n">
        <v>45640</v>
      </c>
      <c r="S6" s="101" t="n">
        <v>45641</v>
      </c>
      <c r="T6" s="101" t="n">
        <v>45642</v>
      </c>
      <c r="U6" s="101" t="n">
        <v>45643</v>
      </c>
      <c r="V6" s="101" t="n">
        <v>45644</v>
      </c>
      <c r="W6" s="101" t="n">
        <v>45645</v>
      </c>
      <c r="X6" s="102" t="n">
        <v>45646</v>
      </c>
      <c r="Y6" s="103" t="n">
        <v>45647</v>
      </c>
      <c r="Z6" s="101" t="n">
        <v>45648</v>
      </c>
      <c r="AA6" s="101" t="n">
        <v>45649</v>
      </c>
      <c r="AB6" s="101" t="n">
        <v>45650</v>
      </c>
      <c r="AC6" s="101" t="n">
        <v>45651</v>
      </c>
      <c r="AD6" s="101" t="n">
        <v>45652</v>
      </c>
      <c r="AE6" s="102" t="n">
        <v>45653</v>
      </c>
      <c r="AF6" s="103" t="n">
        <v>45654</v>
      </c>
      <c r="AG6" s="101" t="n">
        <v>45655</v>
      </c>
      <c r="AH6" s="101" t="n">
        <v>45656</v>
      </c>
      <c r="AI6" s="101" t="n">
        <v>45657</v>
      </c>
      <c r="AJ6" s="101" t="n">
        <v>45658</v>
      </c>
      <c r="AK6" s="101" t="n">
        <v>45659</v>
      </c>
      <c r="AL6" s="102" t="n">
        <v>45660</v>
      </c>
      <c r="AM6" s="103" t="n">
        <v>45661</v>
      </c>
      <c r="AN6" s="101" t="n">
        <v>45662</v>
      </c>
      <c r="AO6" s="101" t="n">
        <v>45663</v>
      </c>
      <c r="AP6" s="101" t="n">
        <v>45664</v>
      </c>
      <c r="AQ6" s="101" t="n">
        <v>45665</v>
      </c>
      <c r="AR6" s="101" t="n">
        <v>45666</v>
      </c>
      <c r="AS6" s="102" t="n">
        <v>45667</v>
      </c>
      <c r="AT6" s="103" t="n">
        <v>45668</v>
      </c>
      <c r="AU6" s="101" t="n">
        <v>45669</v>
      </c>
      <c r="AV6" s="101" t="n">
        <v>45670</v>
      </c>
      <c r="AW6" s="101" t="n">
        <v>45671</v>
      </c>
      <c r="AX6" s="101" t="n">
        <v>45672</v>
      </c>
      <c r="AY6" s="101" t="n">
        <v>45673</v>
      </c>
      <c r="AZ6" s="102" t="n">
        <v>45674</v>
      </c>
      <c r="BA6" s="103" t="n">
        <v>45675</v>
      </c>
      <c r="BB6" s="101" t="n">
        <v>45676</v>
      </c>
      <c r="BC6" s="101" t="n">
        <v>45677</v>
      </c>
      <c r="BD6" s="101" t="n">
        <v>45678</v>
      </c>
      <c r="BE6" s="101" t="n">
        <v>45679</v>
      </c>
      <c r="BF6" s="101" t="n">
        <v>45680</v>
      </c>
      <c r="BG6" s="102" t="n">
        <v>45681</v>
      </c>
      <c r="BH6" s="103" t="n">
        <v>45682</v>
      </c>
      <c r="BI6" s="101" t="n">
        <v>45683</v>
      </c>
      <c r="BJ6" s="101" t="n">
        <v>45684</v>
      </c>
      <c r="BK6" s="101" t="n">
        <v>45685</v>
      </c>
      <c r="BL6" s="101" t="n">
        <v>45686</v>
      </c>
    </row>
    <row r="7">
      <c r="A7" s="96" t="inlineStr">
        <is>
          <t>Day</t>
        </is>
      </c>
      <c r="B7" s="78" t="n"/>
      <c r="C7" s="78" t="n"/>
      <c r="D7" s="78" t="n"/>
      <c r="E7" s="62" t="inlineStr">
        <is>
          <t>Sun</t>
        </is>
      </c>
      <c r="F7" s="62" t="inlineStr">
        <is>
          <t>Mon</t>
        </is>
      </c>
      <c r="G7" s="62" t="inlineStr">
        <is>
          <t>Tue</t>
        </is>
      </c>
      <c r="H7" s="62" t="inlineStr">
        <is>
          <t>Wed</t>
        </is>
      </c>
      <c r="I7" s="62" t="inlineStr">
        <is>
          <t>Thu</t>
        </is>
      </c>
      <c r="J7" s="63" t="inlineStr">
        <is>
          <t>Fri</t>
        </is>
      </c>
      <c r="K7" s="64" t="inlineStr">
        <is>
          <t>Sat</t>
        </is>
      </c>
      <c r="L7" s="62" t="inlineStr">
        <is>
          <t>Sun</t>
        </is>
      </c>
      <c r="M7" s="62" t="inlineStr">
        <is>
          <t>Mon</t>
        </is>
      </c>
      <c r="N7" s="62" t="inlineStr">
        <is>
          <t>Tue</t>
        </is>
      </c>
      <c r="O7" s="62" t="inlineStr">
        <is>
          <t>Wed</t>
        </is>
      </c>
      <c r="P7" s="62" t="inlineStr">
        <is>
          <t>Thu</t>
        </is>
      </c>
      <c r="Q7" s="63" t="inlineStr">
        <is>
          <t>Fri</t>
        </is>
      </c>
      <c r="R7" s="64" t="inlineStr">
        <is>
          <t>Sat</t>
        </is>
      </c>
      <c r="S7" s="62" t="inlineStr">
        <is>
          <t>Sun</t>
        </is>
      </c>
      <c r="T7" s="62" t="inlineStr">
        <is>
          <t>Mon</t>
        </is>
      </c>
      <c r="U7" s="62" t="inlineStr">
        <is>
          <t>Tue</t>
        </is>
      </c>
      <c r="V7" s="62" t="inlineStr">
        <is>
          <t>Wed</t>
        </is>
      </c>
      <c r="W7" s="62" t="inlineStr">
        <is>
          <t>Thu</t>
        </is>
      </c>
      <c r="X7" s="63" t="inlineStr">
        <is>
          <t>Fri</t>
        </is>
      </c>
      <c r="Y7" s="64" t="inlineStr">
        <is>
          <t>Sat</t>
        </is>
      </c>
      <c r="Z7" s="62" t="inlineStr">
        <is>
          <t>Sun</t>
        </is>
      </c>
      <c r="AA7" s="62" t="inlineStr">
        <is>
          <t>Mon</t>
        </is>
      </c>
      <c r="AB7" s="62" t="inlineStr">
        <is>
          <t>Tue</t>
        </is>
      </c>
      <c r="AC7" s="62" t="inlineStr">
        <is>
          <t>Wed</t>
        </is>
      </c>
      <c r="AD7" s="62" t="inlineStr">
        <is>
          <t>Thu</t>
        </is>
      </c>
      <c r="AE7" s="63" t="inlineStr">
        <is>
          <t>Fri</t>
        </is>
      </c>
      <c r="AF7" s="64" t="inlineStr">
        <is>
          <t>Sat</t>
        </is>
      </c>
      <c r="AG7" s="62" t="inlineStr">
        <is>
          <t>Sun</t>
        </is>
      </c>
      <c r="AH7" s="62" t="inlineStr">
        <is>
          <t>Mon</t>
        </is>
      </c>
      <c r="AI7" s="62" t="inlineStr">
        <is>
          <t>Tue</t>
        </is>
      </c>
      <c r="AJ7" s="62" t="inlineStr">
        <is>
          <t>Wed</t>
        </is>
      </c>
      <c r="AK7" s="62" t="inlineStr">
        <is>
          <t>Thu</t>
        </is>
      </c>
      <c r="AL7" s="63" t="inlineStr">
        <is>
          <t>Fri</t>
        </is>
      </c>
      <c r="AM7" s="64" t="inlineStr">
        <is>
          <t>Sat</t>
        </is>
      </c>
      <c r="AN7" s="62" t="inlineStr">
        <is>
          <t>Sun</t>
        </is>
      </c>
      <c r="AO7" s="62" t="inlineStr">
        <is>
          <t>Mon</t>
        </is>
      </c>
      <c r="AP7" s="62" t="inlineStr">
        <is>
          <t>Tue</t>
        </is>
      </c>
      <c r="AQ7" s="62" t="inlineStr">
        <is>
          <t>Wed</t>
        </is>
      </c>
      <c r="AR7" s="62" t="inlineStr">
        <is>
          <t>Thu</t>
        </is>
      </c>
      <c r="AS7" s="63" t="inlineStr">
        <is>
          <t>Fri</t>
        </is>
      </c>
      <c r="AT7" s="64" t="inlineStr">
        <is>
          <t>Sat</t>
        </is>
      </c>
      <c r="AU7" s="62" t="inlineStr">
        <is>
          <t>Sun</t>
        </is>
      </c>
      <c r="AV7" s="62" t="inlineStr">
        <is>
          <t>Mon</t>
        </is>
      </c>
      <c r="AW7" s="62" t="inlineStr">
        <is>
          <t>Tue</t>
        </is>
      </c>
      <c r="AX7" s="62" t="inlineStr">
        <is>
          <t>Wed</t>
        </is>
      </c>
      <c r="AY7" s="62" t="inlineStr">
        <is>
          <t>Thu</t>
        </is>
      </c>
      <c r="AZ7" s="63" t="inlineStr">
        <is>
          <t>Fri</t>
        </is>
      </c>
      <c r="BA7" s="64" t="inlineStr">
        <is>
          <t>Sat</t>
        </is>
      </c>
      <c r="BB7" s="62" t="inlineStr">
        <is>
          <t>Sun</t>
        </is>
      </c>
      <c r="BC7" s="62" t="inlineStr">
        <is>
          <t>Mon</t>
        </is>
      </c>
      <c r="BD7" s="62" t="inlineStr">
        <is>
          <t>Tue</t>
        </is>
      </c>
      <c r="BE7" s="62" t="inlineStr">
        <is>
          <t>Wed</t>
        </is>
      </c>
      <c r="BF7" s="62" t="inlineStr">
        <is>
          <t>Thu</t>
        </is>
      </c>
      <c r="BG7" s="63" t="inlineStr">
        <is>
          <t>Fri</t>
        </is>
      </c>
      <c r="BH7" s="64" t="inlineStr">
        <is>
          <t>Sat</t>
        </is>
      </c>
      <c r="BI7" s="62" t="inlineStr">
        <is>
          <t>Sun</t>
        </is>
      </c>
      <c r="BJ7" s="62" t="inlineStr">
        <is>
          <t>Mon</t>
        </is>
      </c>
      <c r="BK7" s="62" t="inlineStr">
        <is>
          <t>Tue</t>
        </is>
      </c>
      <c r="BL7" s="62" t="inlineStr">
        <is>
          <t>Wed</t>
        </is>
      </c>
    </row>
    <row r="8" ht="5" customHeight="1">
      <c r="A8" s="65" t="n"/>
      <c r="B8" s="65" t="n"/>
      <c r="C8" s="65" t="n"/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5" t="n"/>
      <c r="BG8" s="65" t="n"/>
      <c r="BH8" s="65" t="n"/>
      <c r="BI8" s="65" t="n"/>
      <c r="BJ8" s="65" t="n"/>
      <c r="BK8" s="65" t="n"/>
      <c r="BL8" s="65" t="n"/>
    </row>
    <row r="9">
      <c r="A9" s="66" t="inlineStr">
        <is>
          <t>VENDOR PAYMENTS</t>
        </is>
      </c>
      <c r="B9" s="94" t="n"/>
      <c r="C9" s="94" t="n"/>
      <c r="D9" s="95" t="n"/>
      <c r="E9" s="67" t="n"/>
      <c r="F9" s="67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  <c r="AN9" s="67" t="n"/>
      <c r="AO9" s="67" t="n"/>
      <c r="AP9" s="67" t="n"/>
      <c r="AQ9" s="67" t="n"/>
      <c r="AR9" s="67" t="n"/>
      <c r="AS9" s="67" t="n"/>
      <c r="AT9" s="67" t="n"/>
      <c r="AU9" s="67" t="n"/>
      <c r="AV9" s="67" t="n"/>
      <c r="AW9" s="67" t="n"/>
      <c r="AX9" s="67" t="n"/>
      <c r="AY9" s="67" t="n"/>
      <c r="AZ9" s="67" t="n"/>
      <c r="BA9" s="67" t="n"/>
      <c r="BB9" s="67" t="n"/>
      <c r="BC9" s="67" t="n"/>
      <c r="BD9" s="67" t="n"/>
      <c r="BE9" s="67" t="n"/>
      <c r="BF9" s="67" t="n"/>
      <c r="BG9" s="67" t="n"/>
      <c r="BH9" s="67" t="n"/>
      <c r="BI9" s="67" t="n"/>
      <c r="BJ9" s="67" t="n"/>
      <c r="BK9" s="67" t="n"/>
      <c r="BL9" s="67" t="n"/>
    </row>
    <row r="10">
      <c r="A10" s="79" t="inlineStr">
        <is>
          <t>VENDOR</t>
        </is>
      </c>
      <c r="B10" s="32" t="inlineStr">
        <is>
          <t>Saudi Electricity Company</t>
        </is>
      </c>
      <c r="C10" s="10" t="inlineStr">
        <is>
          <t>SAR</t>
        </is>
      </c>
      <c r="D10" s="10">
        <f>IFERROR(INDEX(Payment_Data.$L$6:$L$100,MATCH("VND-001",Payment_Data.$B$6:$B$100,0)),"")</f>
        <v/>
      </c>
      <c r="E10" s="70">
        <f>IFERROR(SUMPRODUCT((Payment_Data.$B$6:$B$100="VND-001")*(Payment_Data.$J$6:$J$100=E$6)*(Payment_Data.$I$6:$I$100)),0)</f>
        <v/>
      </c>
      <c r="F10" s="70">
        <f>IFERROR(SUMPRODUCT((Payment_Data.$B$6:$B$100="VND-001")*(Payment_Data.$J$6:$J$100=F$6)*(Payment_Data.$I$6:$I$100)),0)</f>
        <v/>
      </c>
      <c r="G10" s="70">
        <f>IFERROR(SUMPRODUCT((Payment_Data.$B$6:$B$100="VND-001")*(Payment_Data.$J$6:$J$100=G$6)*(Payment_Data.$I$6:$I$100)),0)</f>
        <v/>
      </c>
      <c r="H10" s="70">
        <f>IFERROR(SUMPRODUCT((Payment_Data.$B$6:$B$100="VND-001")*(Payment_Data.$J$6:$J$100=H$6)*(Payment_Data.$I$6:$I$100)),0)</f>
        <v/>
      </c>
      <c r="I10" s="70">
        <f>IFERROR(SUMPRODUCT((Payment_Data.$B$6:$B$100="VND-001")*(Payment_Data.$J$6:$J$100=I$6)*(Payment_Data.$I$6:$I$100)),0)</f>
        <v/>
      </c>
      <c r="J10" s="71">
        <f>IFERROR(SUMPRODUCT((Payment_Data.$B$6:$B$100="VND-001")*(Payment_Data.$J$6:$J$100=J$6)*(Payment_Data.$I$6:$I$100)),0)</f>
        <v/>
      </c>
      <c r="K10" s="72">
        <f>IFERROR(SUMPRODUCT((Payment_Data.$B$6:$B$100="VND-001")*(Payment_Data.$J$6:$J$100=K$6)*(Payment_Data.$I$6:$I$100)),0)</f>
        <v/>
      </c>
      <c r="L10" s="70">
        <f>IFERROR(SUMPRODUCT((Payment_Data.$B$6:$B$100="VND-001")*(Payment_Data.$J$6:$J$100=L$6)*(Payment_Data.$I$6:$I$100)),0)</f>
        <v/>
      </c>
      <c r="M10" s="70">
        <f>IFERROR(SUMPRODUCT((Payment_Data.$B$6:$B$100="VND-001")*(Payment_Data.$J$6:$J$100=M$6)*(Payment_Data.$I$6:$I$100)),0)</f>
        <v/>
      </c>
      <c r="N10" s="70">
        <f>IFERROR(SUMPRODUCT((Payment_Data.$B$6:$B$100="VND-001")*(Payment_Data.$J$6:$J$100=N$6)*(Payment_Data.$I$6:$I$100)),0)</f>
        <v/>
      </c>
      <c r="O10" s="70">
        <f>IFERROR(SUMPRODUCT((Payment_Data.$B$6:$B$100="VND-001")*(Payment_Data.$J$6:$J$100=O$6)*(Payment_Data.$I$6:$I$100)),0)</f>
        <v/>
      </c>
      <c r="P10" s="70">
        <f>IFERROR(SUMPRODUCT((Payment_Data.$B$6:$B$100="VND-001")*(Payment_Data.$J$6:$J$100=P$6)*(Payment_Data.$I$6:$I$100)),0)</f>
        <v/>
      </c>
      <c r="Q10" s="71">
        <f>IFERROR(SUMPRODUCT((Payment_Data.$B$6:$B$100="VND-001")*(Payment_Data.$J$6:$J$100=Q$6)*(Payment_Data.$I$6:$I$100)),0)</f>
        <v/>
      </c>
      <c r="R10" s="72">
        <f>IFERROR(SUMPRODUCT((Payment_Data.$B$6:$B$100="VND-001")*(Payment_Data.$J$6:$J$100=R$6)*(Payment_Data.$I$6:$I$100)),0)</f>
        <v/>
      </c>
      <c r="S10" s="70">
        <f>IFERROR(SUMPRODUCT((Payment_Data.$B$6:$B$100="VND-001")*(Payment_Data.$J$6:$J$100=S$6)*(Payment_Data.$I$6:$I$100)),0)</f>
        <v/>
      </c>
      <c r="T10" s="70">
        <f>IFERROR(SUMPRODUCT((Payment_Data.$B$6:$B$100="VND-001")*(Payment_Data.$J$6:$J$100=T$6)*(Payment_Data.$I$6:$I$100)),0)</f>
        <v/>
      </c>
      <c r="U10" s="70">
        <f>IFERROR(SUMPRODUCT((Payment_Data.$B$6:$B$100="VND-001")*(Payment_Data.$J$6:$J$100=U$6)*(Payment_Data.$I$6:$I$100)),0)</f>
        <v/>
      </c>
      <c r="V10" s="70">
        <f>IFERROR(SUMPRODUCT((Payment_Data.$B$6:$B$100="VND-001")*(Payment_Data.$J$6:$J$100=V$6)*(Payment_Data.$I$6:$I$100)),0)</f>
        <v/>
      </c>
      <c r="W10" s="70">
        <f>IFERROR(SUMPRODUCT((Payment_Data.$B$6:$B$100="VND-001")*(Payment_Data.$J$6:$J$100=W$6)*(Payment_Data.$I$6:$I$100)),0)</f>
        <v/>
      </c>
      <c r="X10" s="71">
        <f>IFERROR(SUMPRODUCT((Payment_Data.$B$6:$B$100="VND-001")*(Payment_Data.$J$6:$J$100=X$6)*(Payment_Data.$I$6:$I$100)),0)</f>
        <v/>
      </c>
      <c r="Y10" s="72">
        <f>IFERROR(SUMPRODUCT((Payment_Data.$B$6:$B$100="VND-001")*(Payment_Data.$J$6:$J$100=Y$6)*(Payment_Data.$I$6:$I$100)),0)</f>
        <v/>
      </c>
      <c r="Z10" s="70">
        <f>IFERROR(SUMPRODUCT((Payment_Data.$B$6:$B$100="VND-001")*(Payment_Data.$J$6:$J$100=Z$6)*(Payment_Data.$I$6:$I$100)),0)</f>
        <v/>
      </c>
      <c r="AA10" s="70">
        <f>IFERROR(SUMPRODUCT((Payment_Data.$B$6:$B$100="VND-001")*(Payment_Data.$J$6:$J$100=AA$6)*(Payment_Data.$I$6:$I$100)),0)</f>
        <v/>
      </c>
      <c r="AB10" s="70">
        <f>IFERROR(SUMPRODUCT((Payment_Data.$B$6:$B$100="VND-001")*(Payment_Data.$J$6:$J$100=AB$6)*(Payment_Data.$I$6:$I$100)),0)</f>
        <v/>
      </c>
      <c r="AC10" s="70">
        <f>IFERROR(SUMPRODUCT((Payment_Data.$B$6:$B$100="VND-001")*(Payment_Data.$J$6:$J$100=AC$6)*(Payment_Data.$I$6:$I$100)),0)</f>
        <v/>
      </c>
      <c r="AD10" s="70">
        <f>IFERROR(SUMPRODUCT((Payment_Data.$B$6:$B$100="VND-001")*(Payment_Data.$J$6:$J$100=AD$6)*(Payment_Data.$I$6:$I$100)),0)</f>
        <v/>
      </c>
      <c r="AE10" s="71">
        <f>IFERROR(SUMPRODUCT((Payment_Data.$B$6:$B$100="VND-001")*(Payment_Data.$J$6:$J$100=AE$6)*(Payment_Data.$I$6:$I$100)),0)</f>
        <v/>
      </c>
      <c r="AF10" s="72">
        <f>IFERROR(SUMPRODUCT((Payment_Data.$B$6:$B$100="VND-001")*(Payment_Data.$J$6:$J$100=AF$6)*(Payment_Data.$I$6:$I$100)),0)</f>
        <v/>
      </c>
      <c r="AG10" s="70">
        <f>IFERROR(SUMPRODUCT((Payment_Data.$B$6:$B$100="VND-001")*(Payment_Data.$J$6:$J$100=AG$6)*(Payment_Data.$I$6:$I$100)),0)</f>
        <v/>
      </c>
      <c r="AH10" s="70">
        <f>IFERROR(SUMPRODUCT((Payment_Data.$B$6:$B$100="VND-001")*(Payment_Data.$J$6:$J$100=AH$6)*(Payment_Data.$I$6:$I$100)),0)</f>
        <v/>
      </c>
      <c r="AI10" s="70">
        <f>IFERROR(SUMPRODUCT((Payment_Data.$B$6:$B$100="VND-001")*(Payment_Data.$J$6:$J$100=AI$6)*(Payment_Data.$I$6:$I$100)),0)</f>
        <v/>
      </c>
      <c r="AJ10" s="70">
        <f>IFERROR(SUMPRODUCT((Payment_Data.$B$6:$B$100="VND-001")*(Payment_Data.$J$6:$J$100=AJ$6)*(Payment_Data.$I$6:$I$100)),0)</f>
        <v/>
      </c>
      <c r="AK10" s="70">
        <f>IFERROR(SUMPRODUCT((Payment_Data.$B$6:$B$100="VND-001")*(Payment_Data.$J$6:$J$100=AK$6)*(Payment_Data.$I$6:$I$100)),0)</f>
        <v/>
      </c>
      <c r="AL10" s="71">
        <f>IFERROR(SUMPRODUCT((Payment_Data.$B$6:$B$100="VND-001")*(Payment_Data.$J$6:$J$100=AL$6)*(Payment_Data.$I$6:$I$100)),0)</f>
        <v/>
      </c>
      <c r="AM10" s="72">
        <f>IFERROR(SUMPRODUCT((Payment_Data.$B$6:$B$100="VND-001")*(Payment_Data.$J$6:$J$100=AM$6)*(Payment_Data.$I$6:$I$100)),0)</f>
        <v/>
      </c>
      <c r="AN10" s="70">
        <f>IFERROR(SUMPRODUCT((Payment_Data.$B$6:$B$100="VND-001")*(Payment_Data.$J$6:$J$100=AN$6)*(Payment_Data.$I$6:$I$100)),0)</f>
        <v/>
      </c>
      <c r="AO10" s="70">
        <f>IFERROR(SUMPRODUCT((Payment_Data.$B$6:$B$100="VND-001")*(Payment_Data.$J$6:$J$100=AO$6)*(Payment_Data.$I$6:$I$100)),0)</f>
        <v/>
      </c>
      <c r="AP10" s="70">
        <f>IFERROR(SUMPRODUCT((Payment_Data.$B$6:$B$100="VND-001")*(Payment_Data.$J$6:$J$100=AP$6)*(Payment_Data.$I$6:$I$100)),0)</f>
        <v/>
      </c>
      <c r="AQ10" s="70">
        <f>IFERROR(SUMPRODUCT((Payment_Data.$B$6:$B$100="VND-001")*(Payment_Data.$J$6:$J$100=AQ$6)*(Payment_Data.$I$6:$I$100)),0)</f>
        <v/>
      </c>
      <c r="AR10" s="70">
        <f>IFERROR(SUMPRODUCT((Payment_Data.$B$6:$B$100="VND-001")*(Payment_Data.$J$6:$J$100=AR$6)*(Payment_Data.$I$6:$I$100)),0)</f>
        <v/>
      </c>
      <c r="AS10" s="71">
        <f>IFERROR(SUMPRODUCT((Payment_Data.$B$6:$B$100="VND-001")*(Payment_Data.$J$6:$J$100=AS$6)*(Payment_Data.$I$6:$I$100)),0)</f>
        <v/>
      </c>
      <c r="AT10" s="72">
        <f>IFERROR(SUMPRODUCT((Payment_Data.$B$6:$B$100="VND-001")*(Payment_Data.$J$6:$J$100=AT$6)*(Payment_Data.$I$6:$I$100)),0)</f>
        <v/>
      </c>
      <c r="AU10" s="70">
        <f>IFERROR(SUMPRODUCT((Payment_Data.$B$6:$B$100="VND-001")*(Payment_Data.$J$6:$J$100=AU$6)*(Payment_Data.$I$6:$I$100)),0)</f>
        <v/>
      </c>
      <c r="AV10" s="70">
        <f>IFERROR(SUMPRODUCT((Payment_Data.$B$6:$B$100="VND-001")*(Payment_Data.$J$6:$J$100=AV$6)*(Payment_Data.$I$6:$I$100)),0)</f>
        <v/>
      </c>
      <c r="AW10" s="70">
        <f>IFERROR(SUMPRODUCT((Payment_Data.$B$6:$B$100="VND-001")*(Payment_Data.$J$6:$J$100=AW$6)*(Payment_Data.$I$6:$I$100)),0)</f>
        <v/>
      </c>
      <c r="AX10" s="70">
        <f>IFERROR(SUMPRODUCT((Payment_Data.$B$6:$B$100="VND-001")*(Payment_Data.$J$6:$J$100=AX$6)*(Payment_Data.$I$6:$I$100)),0)</f>
        <v/>
      </c>
      <c r="AY10" s="70">
        <f>IFERROR(SUMPRODUCT((Payment_Data.$B$6:$B$100="VND-001")*(Payment_Data.$J$6:$J$100=AY$6)*(Payment_Data.$I$6:$I$100)),0)</f>
        <v/>
      </c>
      <c r="AZ10" s="71">
        <f>IFERROR(SUMPRODUCT((Payment_Data.$B$6:$B$100="VND-001")*(Payment_Data.$J$6:$J$100=AZ$6)*(Payment_Data.$I$6:$I$100)),0)</f>
        <v/>
      </c>
      <c r="BA10" s="72">
        <f>IFERROR(SUMPRODUCT((Payment_Data.$B$6:$B$100="VND-001")*(Payment_Data.$J$6:$J$100=BA$6)*(Payment_Data.$I$6:$I$100)),0)</f>
        <v/>
      </c>
      <c r="BB10" s="70">
        <f>IFERROR(SUMPRODUCT((Payment_Data.$B$6:$B$100="VND-001")*(Payment_Data.$J$6:$J$100=BB$6)*(Payment_Data.$I$6:$I$100)),0)</f>
        <v/>
      </c>
      <c r="BC10" s="70">
        <f>IFERROR(SUMPRODUCT((Payment_Data.$B$6:$B$100="VND-001")*(Payment_Data.$J$6:$J$100=BC$6)*(Payment_Data.$I$6:$I$100)),0)</f>
        <v/>
      </c>
      <c r="BD10" s="70">
        <f>IFERROR(SUMPRODUCT((Payment_Data.$B$6:$B$100="VND-001")*(Payment_Data.$J$6:$J$100=BD$6)*(Payment_Data.$I$6:$I$100)),0)</f>
        <v/>
      </c>
      <c r="BE10" s="70">
        <f>IFERROR(SUMPRODUCT((Payment_Data.$B$6:$B$100="VND-001")*(Payment_Data.$J$6:$J$100=BE$6)*(Payment_Data.$I$6:$I$100)),0)</f>
        <v/>
      </c>
      <c r="BF10" s="70">
        <f>IFERROR(SUMPRODUCT((Payment_Data.$B$6:$B$100="VND-001")*(Payment_Data.$J$6:$J$100=BF$6)*(Payment_Data.$I$6:$I$100)),0)</f>
        <v/>
      </c>
      <c r="BG10" s="71">
        <f>IFERROR(SUMPRODUCT((Payment_Data.$B$6:$B$100="VND-001")*(Payment_Data.$J$6:$J$100=BG$6)*(Payment_Data.$I$6:$I$100)),0)</f>
        <v/>
      </c>
      <c r="BH10" s="72">
        <f>IFERROR(SUMPRODUCT((Payment_Data.$B$6:$B$100="VND-001")*(Payment_Data.$J$6:$J$100=BH$6)*(Payment_Data.$I$6:$I$100)),0)</f>
        <v/>
      </c>
      <c r="BI10" s="70">
        <f>IFERROR(SUMPRODUCT((Payment_Data.$B$6:$B$100="VND-001")*(Payment_Data.$J$6:$J$100=BI$6)*(Payment_Data.$I$6:$I$100)),0)</f>
        <v/>
      </c>
      <c r="BJ10" s="70">
        <f>IFERROR(SUMPRODUCT((Payment_Data.$B$6:$B$100="VND-001")*(Payment_Data.$J$6:$J$100=BJ$6)*(Payment_Data.$I$6:$I$100)),0)</f>
        <v/>
      </c>
      <c r="BK10" s="70">
        <f>IFERROR(SUMPRODUCT((Payment_Data.$B$6:$B$100="VND-001")*(Payment_Data.$J$6:$J$100=BK$6)*(Payment_Data.$I$6:$I$100)),0)</f>
        <v/>
      </c>
      <c r="BL10" s="70">
        <f>IFERROR(SUMPRODUCT((Payment_Data.$B$6:$B$100="VND-001")*(Payment_Data.$J$6:$J$100=BL$6)*(Payment_Data.$I$6:$I$100)),0)</f>
        <v/>
      </c>
    </row>
    <row r="11">
      <c r="A11" s="79" t="inlineStr">
        <is>
          <t>VENDOR</t>
        </is>
      </c>
      <c r="B11" s="32" t="inlineStr">
        <is>
          <t>Saudi Telecom (STC)</t>
        </is>
      </c>
      <c r="C11" s="10" t="inlineStr">
        <is>
          <t>SAR</t>
        </is>
      </c>
      <c r="D11" s="10">
        <f>IFERROR(INDEX(Payment_Data.$L$6:$L$100,MATCH("VND-002",Payment_Data.$B$6:$B$100,0)),"")</f>
        <v/>
      </c>
      <c r="E11" s="70">
        <f>IFERROR(SUMPRODUCT((Payment_Data.$B$6:$B$100="VND-002")*(Payment_Data.$J$6:$J$100=E$6)*(Payment_Data.$I$6:$I$100)),0)</f>
        <v/>
      </c>
      <c r="F11" s="70">
        <f>IFERROR(SUMPRODUCT((Payment_Data.$B$6:$B$100="VND-002")*(Payment_Data.$J$6:$J$100=F$6)*(Payment_Data.$I$6:$I$100)),0)</f>
        <v/>
      </c>
      <c r="G11" s="70">
        <f>IFERROR(SUMPRODUCT((Payment_Data.$B$6:$B$100="VND-002")*(Payment_Data.$J$6:$J$100=G$6)*(Payment_Data.$I$6:$I$100)),0)</f>
        <v/>
      </c>
      <c r="H11" s="70">
        <f>IFERROR(SUMPRODUCT((Payment_Data.$B$6:$B$100="VND-002")*(Payment_Data.$J$6:$J$100=H$6)*(Payment_Data.$I$6:$I$100)),0)</f>
        <v/>
      </c>
      <c r="I11" s="70">
        <f>IFERROR(SUMPRODUCT((Payment_Data.$B$6:$B$100="VND-002")*(Payment_Data.$J$6:$J$100=I$6)*(Payment_Data.$I$6:$I$100)),0)</f>
        <v/>
      </c>
      <c r="J11" s="71">
        <f>IFERROR(SUMPRODUCT((Payment_Data.$B$6:$B$100="VND-002")*(Payment_Data.$J$6:$J$100=J$6)*(Payment_Data.$I$6:$I$100)),0)</f>
        <v/>
      </c>
      <c r="K11" s="72">
        <f>IFERROR(SUMPRODUCT((Payment_Data.$B$6:$B$100="VND-002")*(Payment_Data.$J$6:$J$100=K$6)*(Payment_Data.$I$6:$I$100)),0)</f>
        <v/>
      </c>
      <c r="L11" s="70">
        <f>IFERROR(SUMPRODUCT((Payment_Data.$B$6:$B$100="VND-002")*(Payment_Data.$J$6:$J$100=L$6)*(Payment_Data.$I$6:$I$100)),0)</f>
        <v/>
      </c>
      <c r="M11" s="70">
        <f>IFERROR(SUMPRODUCT((Payment_Data.$B$6:$B$100="VND-002")*(Payment_Data.$J$6:$J$100=M$6)*(Payment_Data.$I$6:$I$100)),0)</f>
        <v/>
      </c>
      <c r="N11" s="70">
        <f>IFERROR(SUMPRODUCT((Payment_Data.$B$6:$B$100="VND-002")*(Payment_Data.$J$6:$J$100=N$6)*(Payment_Data.$I$6:$I$100)),0)</f>
        <v/>
      </c>
      <c r="O11" s="70">
        <f>IFERROR(SUMPRODUCT((Payment_Data.$B$6:$B$100="VND-002")*(Payment_Data.$J$6:$J$100=O$6)*(Payment_Data.$I$6:$I$100)),0)</f>
        <v/>
      </c>
      <c r="P11" s="70">
        <f>IFERROR(SUMPRODUCT((Payment_Data.$B$6:$B$100="VND-002")*(Payment_Data.$J$6:$J$100=P$6)*(Payment_Data.$I$6:$I$100)),0)</f>
        <v/>
      </c>
      <c r="Q11" s="71">
        <f>IFERROR(SUMPRODUCT((Payment_Data.$B$6:$B$100="VND-002")*(Payment_Data.$J$6:$J$100=Q$6)*(Payment_Data.$I$6:$I$100)),0)</f>
        <v/>
      </c>
      <c r="R11" s="72">
        <f>IFERROR(SUMPRODUCT((Payment_Data.$B$6:$B$100="VND-002")*(Payment_Data.$J$6:$J$100=R$6)*(Payment_Data.$I$6:$I$100)),0)</f>
        <v/>
      </c>
      <c r="S11" s="70">
        <f>IFERROR(SUMPRODUCT((Payment_Data.$B$6:$B$100="VND-002")*(Payment_Data.$J$6:$J$100=S$6)*(Payment_Data.$I$6:$I$100)),0)</f>
        <v/>
      </c>
      <c r="T11" s="70">
        <f>IFERROR(SUMPRODUCT((Payment_Data.$B$6:$B$100="VND-002")*(Payment_Data.$J$6:$J$100=T$6)*(Payment_Data.$I$6:$I$100)),0)</f>
        <v/>
      </c>
      <c r="U11" s="70">
        <f>IFERROR(SUMPRODUCT((Payment_Data.$B$6:$B$100="VND-002")*(Payment_Data.$J$6:$J$100=U$6)*(Payment_Data.$I$6:$I$100)),0)</f>
        <v/>
      </c>
      <c r="V11" s="70">
        <f>IFERROR(SUMPRODUCT((Payment_Data.$B$6:$B$100="VND-002")*(Payment_Data.$J$6:$J$100=V$6)*(Payment_Data.$I$6:$I$100)),0)</f>
        <v/>
      </c>
      <c r="W11" s="70">
        <f>IFERROR(SUMPRODUCT((Payment_Data.$B$6:$B$100="VND-002")*(Payment_Data.$J$6:$J$100=W$6)*(Payment_Data.$I$6:$I$100)),0)</f>
        <v/>
      </c>
      <c r="X11" s="71">
        <f>IFERROR(SUMPRODUCT((Payment_Data.$B$6:$B$100="VND-002")*(Payment_Data.$J$6:$J$100=X$6)*(Payment_Data.$I$6:$I$100)),0)</f>
        <v/>
      </c>
      <c r="Y11" s="72">
        <f>IFERROR(SUMPRODUCT((Payment_Data.$B$6:$B$100="VND-002")*(Payment_Data.$J$6:$J$100=Y$6)*(Payment_Data.$I$6:$I$100)),0)</f>
        <v/>
      </c>
      <c r="Z11" s="70">
        <f>IFERROR(SUMPRODUCT((Payment_Data.$B$6:$B$100="VND-002")*(Payment_Data.$J$6:$J$100=Z$6)*(Payment_Data.$I$6:$I$100)),0)</f>
        <v/>
      </c>
      <c r="AA11" s="70">
        <f>IFERROR(SUMPRODUCT((Payment_Data.$B$6:$B$100="VND-002")*(Payment_Data.$J$6:$J$100=AA$6)*(Payment_Data.$I$6:$I$100)),0)</f>
        <v/>
      </c>
      <c r="AB11" s="70">
        <f>IFERROR(SUMPRODUCT((Payment_Data.$B$6:$B$100="VND-002")*(Payment_Data.$J$6:$J$100=AB$6)*(Payment_Data.$I$6:$I$100)),0)</f>
        <v/>
      </c>
      <c r="AC11" s="70">
        <f>IFERROR(SUMPRODUCT((Payment_Data.$B$6:$B$100="VND-002")*(Payment_Data.$J$6:$J$100=AC$6)*(Payment_Data.$I$6:$I$100)),0)</f>
        <v/>
      </c>
      <c r="AD11" s="70">
        <f>IFERROR(SUMPRODUCT((Payment_Data.$B$6:$B$100="VND-002")*(Payment_Data.$J$6:$J$100=AD$6)*(Payment_Data.$I$6:$I$100)),0)</f>
        <v/>
      </c>
      <c r="AE11" s="71">
        <f>IFERROR(SUMPRODUCT((Payment_Data.$B$6:$B$100="VND-002")*(Payment_Data.$J$6:$J$100=AE$6)*(Payment_Data.$I$6:$I$100)),0)</f>
        <v/>
      </c>
      <c r="AF11" s="72">
        <f>IFERROR(SUMPRODUCT((Payment_Data.$B$6:$B$100="VND-002")*(Payment_Data.$J$6:$J$100=AF$6)*(Payment_Data.$I$6:$I$100)),0)</f>
        <v/>
      </c>
      <c r="AG11" s="70">
        <f>IFERROR(SUMPRODUCT((Payment_Data.$B$6:$B$100="VND-002")*(Payment_Data.$J$6:$J$100=AG$6)*(Payment_Data.$I$6:$I$100)),0)</f>
        <v/>
      </c>
      <c r="AH11" s="70">
        <f>IFERROR(SUMPRODUCT((Payment_Data.$B$6:$B$100="VND-002")*(Payment_Data.$J$6:$J$100=AH$6)*(Payment_Data.$I$6:$I$100)),0)</f>
        <v/>
      </c>
      <c r="AI11" s="70">
        <f>IFERROR(SUMPRODUCT((Payment_Data.$B$6:$B$100="VND-002")*(Payment_Data.$J$6:$J$100=AI$6)*(Payment_Data.$I$6:$I$100)),0)</f>
        <v/>
      </c>
      <c r="AJ11" s="70">
        <f>IFERROR(SUMPRODUCT((Payment_Data.$B$6:$B$100="VND-002")*(Payment_Data.$J$6:$J$100=AJ$6)*(Payment_Data.$I$6:$I$100)),0)</f>
        <v/>
      </c>
      <c r="AK11" s="70">
        <f>IFERROR(SUMPRODUCT((Payment_Data.$B$6:$B$100="VND-002")*(Payment_Data.$J$6:$J$100=AK$6)*(Payment_Data.$I$6:$I$100)),0)</f>
        <v/>
      </c>
      <c r="AL11" s="71">
        <f>IFERROR(SUMPRODUCT((Payment_Data.$B$6:$B$100="VND-002")*(Payment_Data.$J$6:$J$100=AL$6)*(Payment_Data.$I$6:$I$100)),0)</f>
        <v/>
      </c>
      <c r="AM11" s="72">
        <f>IFERROR(SUMPRODUCT((Payment_Data.$B$6:$B$100="VND-002")*(Payment_Data.$J$6:$J$100=AM$6)*(Payment_Data.$I$6:$I$100)),0)</f>
        <v/>
      </c>
      <c r="AN11" s="70">
        <f>IFERROR(SUMPRODUCT((Payment_Data.$B$6:$B$100="VND-002")*(Payment_Data.$J$6:$J$100=AN$6)*(Payment_Data.$I$6:$I$100)),0)</f>
        <v/>
      </c>
      <c r="AO11" s="70">
        <f>IFERROR(SUMPRODUCT((Payment_Data.$B$6:$B$100="VND-002")*(Payment_Data.$J$6:$J$100=AO$6)*(Payment_Data.$I$6:$I$100)),0)</f>
        <v/>
      </c>
      <c r="AP11" s="70">
        <f>IFERROR(SUMPRODUCT((Payment_Data.$B$6:$B$100="VND-002")*(Payment_Data.$J$6:$J$100=AP$6)*(Payment_Data.$I$6:$I$100)),0)</f>
        <v/>
      </c>
      <c r="AQ11" s="70">
        <f>IFERROR(SUMPRODUCT((Payment_Data.$B$6:$B$100="VND-002")*(Payment_Data.$J$6:$J$100=AQ$6)*(Payment_Data.$I$6:$I$100)),0)</f>
        <v/>
      </c>
      <c r="AR11" s="70">
        <f>IFERROR(SUMPRODUCT((Payment_Data.$B$6:$B$100="VND-002")*(Payment_Data.$J$6:$J$100=AR$6)*(Payment_Data.$I$6:$I$100)),0)</f>
        <v/>
      </c>
      <c r="AS11" s="71">
        <f>IFERROR(SUMPRODUCT((Payment_Data.$B$6:$B$100="VND-002")*(Payment_Data.$J$6:$J$100=AS$6)*(Payment_Data.$I$6:$I$100)),0)</f>
        <v/>
      </c>
      <c r="AT11" s="72">
        <f>IFERROR(SUMPRODUCT((Payment_Data.$B$6:$B$100="VND-002")*(Payment_Data.$J$6:$J$100=AT$6)*(Payment_Data.$I$6:$I$100)),0)</f>
        <v/>
      </c>
      <c r="AU11" s="70">
        <f>IFERROR(SUMPRODUCT((Payment_Data.$B$6:$B$100="VND-002")*(Payment_Data.$J$6:$J$100=AU$6)*(Payment_Data.$I$6:$I$100)),0)</f>
        <v/>
      </c>
      <c r="AV11" s="70">
        <f>IFERROR(SUMPRODUCT((Payment_Data.$B$6:$B$100="VND-002")*(Payment_Data.$J$6:$J$100=AV$6)*(Payment_Data.$I$6:$I$100)),0)</f>
        <v/>
      </c>
      <c r="AW11" s="70">
        <f>IFERROR(SUMPRODUCT((Payment_Data.$B$6:$B$100="VND-002")*(Payment_Data.$J$6:$J$100=AW$6)*(Payment_Data.$I$6:$I$100)),0)</f>
        <v/>
      </c>
      <c r="AX11" s="70">
        <f>IFERROR(SUMPRODUCT((Payment_Data.$B$6:$B$100="VND-002")*(Payment_Data.$J$6:$J$100=AX$6)*(Payment_Data.$I$6:$I$100)),0)</f>
        <v/>
      </c>
      <c r="AY11" s="70">
        <f>IFERROR(SUMPRODUCT((Payment_Data.$B$6:$B$100="VND-002")*(Payment_Data.$J$6:$J$100=AY$6)*(Payment_Data.$I$6:$I$100)),0)</f>
        <v/>
      </c>
      <c r="AZ11" s="71">
        <f>IFERROR(SUMPRODUCT((Payment_Data.$B$6:$B$100="VND-002")*(Payment_Data.$J$6:$J$100=AZ$6)*(Payment_Data.$I$6:$I$100)),0)</f>
        <v/>
      </c>
      <c r="BA11" s="72">
        <f>IFERROR(SUMPRODUCT((Payment_Data.$B$6:$B$100="VND-002")*(Payment_Data.$J$6:$J$100=BA$6)*(Payment_Data.$I$6:$I$100)),0)</f>
        <v/>
      </c>
      <c r="BB11" s="70">
        <f>IFERROR(SUMPRODUCT((Payment_Data.$B$6:$B$100="VND-002")*(Payment_Data.$J$6:$J$100=BB$6)*(Payment_Data.$I$6:$I$100)),0)</f>
        <v/>
      </c>
      <c r="BC11" s="70">
        <f>IFERROR(SUMPRODUCT((Payment_Data.$B$6:$B$100="VND-002")*(Payment_Data.$J$6:$J$100=BC$6)*(Payment_Data.$I$6:$I$100)),0)</f>
        <v/>
      </c>
      <c r="BD11" s="70">
        <f>IFERROR(SUMPRODUCT((Payment_Data.$B$6:$B$100="VND-002")*(Payment_Data.$J$6:$J$100=BD$6)*(Payment_Data.$I$6:$I$100)),0)</f>
        <v/>
      </c>
      <c r="BE11" s="70">
        <f>IFERROR(SUMPRODUCT((Payment_Data.$B$6:$B$100="VND-002")*(Payment_Data.$J$6:$J$100=BE$6)*(Payment_Data.$I$6:$I$100)),0)</f>
        <v/>
      </c>
      <c r="BF11" s="70">
        <f>IFERROR(SUMPRODUCT((Payment_Data.$B$6:$B$100="VND-002")*(Payment_Data.$J$6:$J$100=BF$6)*(Payment_Data.$I$6:$I$100)),0)</f>
        <v/>
      </c>
      <c r="BG11" s="71">
        <f>IFERROR(SUMPRODUCT((Payment_Data.$B$6:$B$100="VND-002")*(Payment_Data.$J$6:$J$100=BG$6)*(Payment_Data.$I$6:$I$100)),0)</f>
        <v/>
      </c>
      <c r="BH11" s="72">
        <f>IFERROR(SUMPRODUCT((Payment_Data.$B$6:$B$100="VND-002")*(Payment_Data.$J$6:$J$100=BH$6)*(Payment_Data.$I$6:$I$100)),0)</f>
        <v/>
      </c>
      <c r="BI11" s="70">
        <f>IFERROR(SUMPRODUCT((Payment_Data.$B$6:$B$100="VND-002")*(Payment_Data.$J$6:$J$100=BI$6)*(Payment_Data.$I$6:$I$100)),0)</f>
        <v/>
      </c>
      <c r="BJ11" s="70">
        <f>IFERROR(SUMPRODUCT((Payment_Data.$B$6:$B$100="VND-002")*(Payment_Data.$J$6:$J$100=BJ$6)*(Payment_Data.$I$6:$I$100)),0)</f>
        <v/>
      </c>
      <c r="BK11" s="70">
        <f>IFERROR(SUMPRODUCT((Payment_Data.$B$6:$B$100="VND-002")*(Payment_Data.$J$6:$J$100=BK$6)*(Payment_Data.$I$6:$I$100)),0)</f>
        <v/>
      </c>
      <c r="BL11" s="70">
        <f>IFERROR(SUMPRODUCT((Payment_Data.$B$6:$B$100="VND-002")*(Payment_Data.$J$6:$J$100=BL$6)*(Payment_Data.$I$6:$I$100)),0)</f>
        <v/>
      </c>
    </row>
    <row r="12">
      <c r="A12" s="79" t="inlineStr">
        <is>
          <t>VENDOR</t>
        </is>
      </c>
      <c r="B12" s="32" t="inlineStr">
        <is>
          <t>Dell Technologies</t>
        </is>
      </c>
      <c r="C12" s="10" t="inlineStr">
        <is>
          <t>USD</t>
        </is>
      </c>
      <c r="D12" s="10">
        <f>IFERROR(INDEX(Payment_Data.$L$6:$L$100,MATCH("VND-004",Payment_Data.$B$6:$B$100,0)),"")</f>
        <v/>
      </c>
      <c r="E12" s="70">
        <f>IFERROR(SUMPRODUCT((Payment_Data.$B$6:$B$100="VND-004")*(Payment_Data.$J$6:$J$100=E$6)*(Payment_Data.$I$6:$I$100)),0)</f>
        <v/>
      </c>
      <c r="F12" s="70">
        <f>IFERROR(SUMPRODUCT((Payment_Data.$B$6:$B$100="VND-004")*(Payment_Data.$J$6:$J$100=F$6)*(Payment_Data.$I$6:$I$100)),0)</f>
        <v/>
      </c>
      <c r="G12" s="70">
        <f>IFERROR(SUMPRODUCT((Payment_Data.$B$6:$B$100="VND-004")*(Payment_Data.$J$6:$J$100=G$6)*(Payment_Data.$I$6:$I$100)),0)</f>
        <v/>
      </c>
      <c r="H12" s="70">
        <f>IFERROR(SUMPRODUCT((Payment_Data.$B$6:$B$100="VND-004")*(Payment_Data.$J$6:$J$100=H$6)*(Payment_Data.$I$6:$I$100)),0)</f>
        <v/>
      </c>
      <c r="I12" s="70">
        <f>IFERROR(SUMPRODUCT((Payment_Data.$B$6:$B$100="VND-004")*(Payment_Data.$J$6:$J$100=I$6)*(Payment_Data.$I$6:$I$100)),0)</f>
        <v/>
      </c>
      <c r="J12" s="71">
        <f>IFERROR(SUMPRODUCT((Payment_Data.$B$6:$B$100="VND-004")*(Payment_Data.$J$6:$J$100=J$6)*(Payment_Data.$I$6:$I$100)),0)</f>
        <v/>
      </c>
      <c r="K12" s="72">
        <f>IFERROR(SUMPRODUCT((Payment_Data.$B$6:$B$100="VND-004")*(Payment_Data.$J$6:$J$100=K$6)*(Payment_Data.$I$6:$I$100)),0)</f>
        <v/>
      </c>
      <c r="L12" s="70">
        <f>IFERROR(SUMPRODUCT((Payment_Data.$B$6:$B$100="VND-004")*(Payment_Data.$J$6:$J$100=L$6)*(Payment_Data.$I$6:$I$100)),0)</f>
        <v/>
      </c>
      <c r="M12" s="70">
        <f>IFERROR(SUMPRODUCT((Payment_Data.$B$6:$B$100="VND-004")*(Payment_Data.$J$6:$J$100=M$6)*(Payment_Data.$I$6:$I$100)),0)</f>
        <v/>
      </c>
      <c r="N12" s="70">
        <f>IFERROR(SUMPRODUCT((Payment_Data.$B$6:$B$100="VND-004")*(Payment_Data.$J$6:$J$100=N$6)*(Payment_Data.$I$6:$I$100)),0)</f>
        <v/>
      </c>
      <c r="O12" s="70">
        <f>IFERROR(SUMPRODUCT((Payment_Data.$B$6:$B$100="VND-004")*(Payment_Data.$J$6:$J$100=O$6)*(Payment_Data.$I$6:$I$100)),0)</f>
        <v/>
      </c>
      <c r="P12" s="70">
        <f>IFERROR(SUMPRODUCT((Payment_Data.$B$6:$B$100="VND-004")*(Payment_Data.$J$6:$J$100=P$6)*(Payment_Data.$I$6:$I$100)),0)</f>
        <v/>
      </c>
      <c r="Q12" s="71">
        <f>IFERROR(SUMPRODUCT((Payment_Data.$B$6:$B$100="VND-004")*(Payment_Data.$J$6:$J$100=Q$6)*(Payment_Data.$I$6:$I$100)),0)</f>
        <v/>
      </c>
      <c r="R12" s="72">
        <f>IFERROR(SUMPRODUCT((Payment_Data.$B$6:$B$100="VND-004")*(Payment_Data.$J$6:$J$100=R$6)*(Payment_Data.$I$6:$I$100)),0)</f>
        <v/>
      </c>
      <c r="S12" s="70">
        <f>IFERROR(SUMPRODUCT((Payment_Data.$B$6:$B$100="VND-004")*(Payment_Data.$J$6:$J$100=S$6)*(Payment_Data.$I$6:$I$100)),0)</f>
        <v/>
      </c>
      <c r="T12" s="70">
        <f>IFERROR(SUMPRODUCT((Payment_Data.$B$6:$B$100="VND-004")*(Payment_Data.$J$6:$J$100=T$6)*(Payment_Data.$I$6:$I$100)),0)</f>
        <v/>
      </c>
      <c r="U12" s="70">
        <f>IFERROR(SUMPRODUCT((Payment_Data.$B$6:$B$100="VND-004")*(Payment_Data.$J$6:$J$100=U$6)*(Payment_Data.$I$6:$I$100)),0)</f>
        <v/>
      </c>
      <c r="V12" s="70">
        <f>IFERROR(SUMPRODUCT((Payment_Data.$B$6:$B$100="VND-004")*(Payment_Data.$J$6:$J$100=V$6)*(Payment_Data.$I$6:$I$100)),0)</f>
        <v/>
      </c>
      <c r="W12" s="70">
        <f>IFERROR(SUMPRODUCT((Payment_Data.$B$6:$B$100="VND-004")*(Payment_Data.$J$6:$J$100=W$6)*(Payment_Data.$I$6:$I$100)),0)</f>
        <v/>
      </c>
      <c r="X12" s="71">
        <f>IFERROR(SUMPRODUCT((Payment_Data.$B$6:$B$100="VND-004")*(Payment_Data.$J$6:$J$100=X$6)*(Payment_Data.$I$6:$I$100)),0)</f>
        <v/>
      </c>
      <c r="Y12" s="72">
        <f>IFERROR(SUMPRODUCT((Payment_Data.$B$6:$B$100="VND-004")*(Payment_Data.$J$6:$J$100=Y$6)*(Payment_Data.$I$6:$I$100)),0)</f>
        <v/>
      </c>
      <c r="Z12" s="70">
        <f>IFERROR(SUMPRODUCT((Payment_Data.$B$6:$B$100="VND-004")*(Payment_Data.$J$6:$J$100=Z$6)*(Payment_Data.$I$6:$I$100)),0)</f>
        <v/>
      </c>
      <c r="AA12" s="70">
        <f>IFERROR(SUMPRODUCT((Payment_Data.$B$6:$B$100="VND-004")*(Payment_Data.$J$6:$J$100=AA$6)*(Payment_Data.$I$6:$I$100)),0)</f>
        <v/>
      </c>
      <c r="AB12" s="70">
        <f>IFERROR(SUMPRODUCT((Payment_Data.$B$6:$B$100="VND-004")*(Payment_Data.$J$6:$J$100=AB$6)*(Payment_Data.$I$6:$I$100)),0)</f>
        <v/>
      </c>
      <c r="AC12" s="70">
        <f>IFERROR(SUMPRODUCT((Payment_Data.$B$6:$B$100="VND-004")*(Payment_Data.$J$6:$J$100=AC$6)*(Payment_Data.$I$6:$I$100)),0)</f>
        <v/>
      </c>
      <c r="AD12" s="70">
        <f>IFERROR(SUMPRODUCT((Payment_Data.$B$6:$B$100="VND-004")*(Payment_Data.$J$6:$J$100=AD$6)*(Payment_Data.$I$6:$I$100)),0)</f>
        <v/>
      </c>
      <c r="AE12" s="71">
        <f>IFERROR(SUMPRODUCT((Payment_Data.$B$6:$B$100="VND-004")*(Payment_Data.$J$6:$J$100=AE$6)*(Payment_Data.$I$6:$I$100)),0)</f>
        <v/>
      </c>
      <c r="AF12" s="72">
        <f>IFERROR(SUMPRODUCT((Payment_Data.$B$6:$B$100="VND-004")*(Payment_Data.$J$6:$J$100=AF$6)*(Payment_Data.$I$6:$I$100)),0)</f>
        <v/>
      </c>
      <c r="AG12" s="70">
        <f>IFERROR(SUMPRODUCT((Payment_Data.$B$6:$B$100="VND-004")*(Payment_Data.$J$6:$J$100=AG$6)*(Payment_Data.$I$6:$I$100)),0)</f>
        <v/>
      </c>
      <c r="AH12" s="70">
        <f>IFERROR(SUMPRODUCT((Payment_Data.$B$6:$B$100="VND-004")*(Payment_Data.$J$6:$J$100=AH$6)*(Payment_Data.$I$6:$I$100)),0)</f>
        <v/>
      </c>
      <c r="AI12" s="70">
        <f>IFERROR(SUMPRODUCT((Payment_Data.$B$6:$B$100="VND-004")*(Payment_Data.$J$6:$J$100=AI$6)*(Payment_Data.$I$6:$I$100)),0)</f>
        <v/>
      </c>
      <c r="AJ12" s="70">
        <f>IFERROR(SUMPRODUCT((Payment_Data.$B$6:$B$100="VND-004")*(Payment_Data.$J$6:$J$100=AJ$6)*(Payment_Data.$I$6:$I$100)),0)</f>
        <v/>
      </c>
      <c r="AK12" s="70">
        <f>IFERROR(SUMPRODUCT((Payment_Data.$B$6:$B$100="VND-004")*(Payment_Data.$J$6:$J$100=AK$6)*(Payment_Data.$I$6:$I$100)),0)</f>
        <v/>
      </c>
      <c r="AL12" s="71">
        <f>IFERROR(SUMPRODUCT((Payment_Data.$B$6:$B$100="VND-004")*(Payment_Data.$J$6:$J$100=AL$6)*(Payment_Data.$I$6:$I$100)),0)</f>
        <v/>
      </c>
      <c r="AM12" s="72">
        <f>IFERROR(SUMPRODUCT((Payment_Data.$B$6:$B$100="VND-004")*(Payment_Data.$J$6:$J$100=AM$6)*(Payment_Data.$I$6:$I$100)),0)</f>
        <v/>
      </c>
      <c r="AN12" s="70">
        <f>IFERROR(SUMPRODUCT((Payment_Data.$B$6:$B$100="VND-004")*(Payment_Data.$J$6:$J$100=AN$6)*(Payment_Data.$I$6:$I$100)),0)</f>
        <v/>
      </c>
      <c r="AO12" s="70">
        <f>IFERROR(SUMPRODUCT((Payment_Data.$B$6:$B$100="VND-004")*(Payment_Data.$J$6:$J$100=AO$6)*(Payment_Data.$I$6:$I$100)),0)</f>
        <v/>
      </c>
      <c r="AP12" s="70">
        <f>IFERROR(SUMPRODUCT((Payment_Data.$B$6:$B$100="VND-004")*(Payment_Data.$J$6:$J$100=AP$6)*(Payment_Data.$I$6:$I$100)),0)</f>
        <v/>
      </c>
      <c r="AQ12" s="70">
        <f>IFERROR(SUMPRODUCT((Payment_Data.$B$6:$B$100="VND-004")*(Payment_Data.$J$6:$J$100=AQ$6)*(Payment_Data.$I$6:$I$100)),0)</f>
        <v/>
      </c>
      <c r="AR12" s="70">
        <f>IFERROR(SUMPRODUCT((Payment_Data.$B$6:$B$100="VND-004")*(Payment_Data.$J$6:$J$100=AR$6)*(Payment_Data.$I$6:$I$100)),0)</f>
        <v/>
      </c>
      <c r="AS12" s="71">
        <f>IFERROR(SUMPRODUCT((Payment_Data.$B$6:$B$100="VND-004")*(Payment_Data.$J$6:$J$100=AS$6)*(Payment_Data.$I$6:$I$100)),0)</f>
        <v/>
      </c>
      <c r="AT12" s="72">
        <f>IFERROR(SUMPRODUCT((Payment_Data.$B$6:$B$100="VND-004")*(Payment_Data.$J$6:$J$100=AT$6)*(Payment_Data.$I$6:$I$100)),0)</f>
        <v/>
      </c>
      <c r="AU12" s="70">
        <f>IFERROR(SUMPRODUCT((Payment_Data.$B$6:$B$100="VND-004")*(Payment_Data.$J$6:$J$100=AU$6)*(Payment_Data.$I$6:$I$100)),0)</f>
        <v/>
      </c>
      <c r="AV12" s="70">
        <f>IFERROR(SUMPRODUCT((Payment_Data.$B$6:$B$100="VND-004")*(Payment_Data.$J$6:$J$100=AV$6)*(Payment_Data.$I$6:$I$100)),0)</f>
        <v/>
      </c>
      <c r="AW12" s="70">
        <f>IFERROR(SUMPRODUCT((Payment_Data.$B$6:$B$100="VND-004")*(Payment_Data.$J$6:$J$100=AW$6)*(Payment_Data.$I$6:$I$100)),0)</f>
        <v/>
      </c>
      <c r="AX12" s="70">
        <f>IFERROR(SUMPRODUCT((Payment_Data.$B$6:$B$100="VND-004")*(Payment_Data.$J$6:$J$100=AX$6)*(Payment_Data.$I$6:$I$100)),0)</f>
        <v/>
      </c>
      <c r="AY12" s="70">
        <f>IFERROR(SUMPRODUCT((Payment_Data.$B$6:$B$100="VND-004")*(Payment_Data.$J$6:$J$100=AY$6)*(Payment_Data.$I$6:$I$100)),0)</f>
        <v/>
      </c>
      <c r="AZ12" s="71">
        <f>IFERROR(SUMPRODUCT((Payment_Data.$B$6:$B$100="VND-004")*(Payment_Data.$J$6:$J$100=AZ$6)*(Payment_Data.$I$6:$I$100)),0)</f>
        <v/>
      </c>
      <c r="BA12" s="72">
        <f>IFERROR(SUMPRODUCT((Payment_Data.$B$6:$B$100="VND-004")*(Payment_Data.$J$6:$J$100=BA$6)*(Payment_Data.$I$6:$I$100)),0)</f>
        <v/>
      </c>
      <c r="BB12" s="70">
        <f>IFERROR(SUMPRODUCT((Payment_Data.$B$6:$B$100="VND-004")*(Payment_Data.$J$6:$J$100=BB$6)*(Payment_Data.$I$6:$I$100)),0)</f>
        <v/>
      </c>
      <c r="BC12" s="70">
        <f>IFERROR(SUMPRODUCT((Payment_Data.$B$6:$B$100="VND-004")*(Payment_Data.$J$6:$J$100=BC$6)*(Payment_Data.$I$6:$I$100)),0)</f>
        <v/>
      </c>
      <c r="BD12" s="70">
        <f>IFERROR(SUMPRODUCT((Payment_Data.$B$6:$B$100="VND-004")*(Payment_Data.$J$6:$J$100=BD$6)*(Payment_Data.$I$6:$I$100)),0)</f>
        <v/>
      </c>
      <c r="BE12" s="70">
        <f>IFERROR(SUMPRODUCT((Payment_Data.$B$6:$B$100="VND-004")*(Payment_Data.$J$6:$J$100=BE$6)*(Payment_Data.$I$6:$I$100)),0)</f>
        <v/>
      </c>
      <c r="BF12" s="70">
        <f>IFERROR(SUMPRODUCT((Payment_Data.$B$6:$B$100="VND-004")*(Payment_Data.$J$6:$J$100=BF$6)*(Payment_Data.$I$6:$I$100)),0)</f>
        <v/>
      </c>
      <c r="BG12" s="71">
        <f>IFERROR(SUMPRODUCT((Payment_Data.$B$6:$B$100="VND-004")*(Payment_Data.$J$6:$J$100=BG$6)*(Payment_Data.$I$6:$I$100)),0)</f>
        <v/>
      </c>
      <c r="BH12" s="72">
        <f>IFERROR(SUMPRODUCT((Payment_Data.$B$6:$B$100="VND-004")*(Payment_Data.$J$6:$J$100=BH$6)*(Payment_Data.$I$6:$I$100)),0)</f>
        <v/>
      </c>
      <c r="BI12" s="70">
        <f>IFERROR(SUMPRODUCT((Payment_Data.$B$6:$B$100="VND-004")*(Payment_Data.$J$6:$J$100=BI$6)*(Payment_Data.$I$6:$I$100)),0)</f>
        <v/>
      </c>
      <c r="BJ12" s="70">
        <f>IFERROR(SUMPRODUCT((Payment_Data.$B$6:$B$100="VND-004")*(Payment_Data.$J$6:$J$100=BJ$6)*(Payment_Data.$I$6:$I$100)),0)</f>
        <v/>
      </c>
      <c r="BK12" s="70">
        <f>IFERROR(SUMPRODUCT((Payment_Data.$B$6:$B$100="VND-004")*(Payment_Data.$J$6:$J$100=BK$6)*(Payment_Data.$I$6:$I$100)),0)</f>
        <v/>
      </c>
      <c r="BL12" s="70">
        <f>IFERROR(SUMPRODUCT((Payment_Data.$B$6:$B$100="VND-004")*(Payment_Data.$J$6:$J$100=BL$6)*(Payment_Data.$I$6:$I$100)),0)</f>
        <v/>
      </c>
    </row>
    <row r="13">
      <c r="A13" s="79" t="inlineStr">
        <is>
          <t>VENDOR</t>
        </is>
      </c>
      <c r="B13" s="32" t="inlineStr">
        <is>
          <t>Microsoft Corporation</t>
        </is>
      </c>
      <c r="C13" s="10" t="inlineStr">
        <is>
          <t>USD</t>
        </is>
      </c>
      <c r="D13" s="10">
        <f>IFERROR(INDEX(Payment_Data.$L$6:$L$100,MATCH("VND-005",Payment_Data.$B$6:$B$100,0)),"")</f>
        <v/>
      </c>
      <c r="E13" s="70">
        <f>IFERROR(SUMPRODUCT((Payment_Data.$B$6:$B$100="VND-005")*(Payment_Data.$J$6:$J$100=E$6)*(Payment_Data.$I$6:$I$100)),0)</f>
        <v/>
      </c>
      <c r="F13" s="70">
        <f>IFERROR(SUMPRODUCT((Payment_Data.$B$6:$B$100="VND-005")*(Payment_Data.$J$6:$J$100=F$6)*(Payment_Data.$I$6:$I$100)),0)</f>
        <v/>
      </c>
      <c r="G13" s="70">
        <f>IFERROR(SUMPRODUCT((Payment_Data.$B$6:$B$100="VND-005")*(Payment_Data.$J$6:$J$100=G$6)*(Payment_Data.$I$6:$I$100)),0)</f>
        <v/>
      </c>
      <c r="H13" s="70">
        <f>IFERROR(SUMPRODUCT((Payment_Data.$B$6:$B$100="VND-005")*(Payment_Data.$J$6:$J$100=H$6)*(Payment_Data.$I$6:$I$100)),0)</f>
        <v/>
      </c>
      <c r="I13" s="70">
        <f>IFERROR(SUMPRODUCT((Payment_Data.$B$6:$B$100="VND-005")*(Payment_Data.$J$6:$J$100=I$6)*(Payment_Data.$I$6:$I$100)),0)</f>
        <v/>
      </c>
      <c r="J13" s="71">
        <f>IFERROR(SUMPRODUCT((Payment_Data.$B$6:$B$100="VND-005")*(Payment_Data.$J$6:$J$100=J$6)*(Payment_Data.$I$6:$I$100)),0)</f>
        <v/>
      </c>
      <c r="K13" s="72">
        <f>IFERROR(SUMPRODUCT((Payment_Data.$B$6:$B$100="VND-005")*(Payment_Data.$J$6:$J$100=K$6)*(Payment_Data.$I$6:$I$100)),0)</f>
        <v/>
      </c>
      <c r="L13" s="70">
        <f>IFERROR(SUMPRODUCT((Payment_Data.$B$6:$B$100="VND-005")*(Payment_Data.$J$6:$J$100=L$6)*(Payment_Data.$I$6:$I$100)),0)</f>
        <v/>
      </c>
      <c r="M13" s="70">
        <f>IFERROR(SUMPRODUCT((Payment_Data.$B$6:$B$100="VND-005")*(Payment_Data.$J$6:$J$100=M$6)*(Payment_Data.$I$6:$I$100)),0)</f>
        <v/>
      </c>
      <c r="N13" s="70">
        <f>IFERROR(SUMPRODUCT((Payment_Data.$B$6:$B$100="VND-005")*(Payment_Data.$J$6:$J$100=N$6)*(Payment_Data.$I$6:$I$100)),0)</f>
        <v/>
      </c>
      <c r="O13" s="70">
        <f>IFERROR(SUMPRODUCT((Payment_Data.$B$6:$B$100="VND-005")*(Payment_Data.$J$6:$J$100=O$6)*(Payment_Data.$I$6:$I$100)),0)</f>
        <v/>
      </c>
      <c r="P13" s="70">
        <f>IFERROR(SUMPRODUCT((Payment_Data.$B$6:$B$100="VND-005")*(Payment_Data.$J$6:$J$100=P$6)*(Payment_Data.$I$6:$I$100)),0)</f>
        <v/>
      </c>
      <c r="Q13" s="71">
        <f>IFERROR(SUMPRODUCT((Payment_Data.$B$6:$B$100="VND-005")*(Payment_Data.$J$6:$J$100=Q$6)*(Payment_Data.$I$6:$I$100)),0)</f>
        <v/>
      </c>
      <c r="R13" s="72">
        <f>IFERROR(SUMPRODUCT((Payment_Data.$B$6:$B$100="VND-005")*(Payment_Data.$J$6:$J$100=R$6)*(Payment_Data.$I$6:$I$100)),0)</f>
        <v/>
      </c>
      <c r="S13" s="70">
        <f>IFERROR(SUMPRODUCT((Payment_Data.$B$6:$B$100="VND-005")*(Payment_Data.$J$6:$J$100=S$6)*(Payment_Data.$I$6:$I$100)),0)</f>
        <v/>
      </c>
      <c r="T13" s="70">
        <f>IFERROR(SUMPRODUCT((Payment_Data.$B$6:$B$100="VND-005")*(Payment_Data.$J$6:$J$100=T$6)*(Payment_Data.$I$6:$I$100)),0)</f>
        <v/>
      </c>
      <c r="U13" s="70">
        <f>IFERROR(SUMPRODUCT((Payment_Data.$B$6:$B$100="VND-005")*(Payment_Data.$J$6:$J$100=U$6)*(Payment_Data.$I$6:$I$100)),0)</f>
        <v/>
      </c>
      <c r="V13" s="70">
        <f>IFERROR(SUMPRODUCT((Payment_Data.$B$6:$B$100="VND-005")*(Payment_Data.$J$6:$J$100=V$6)*(Payment_Data.$I$6:$I$100)),0)</f>
        <v/>
      </c>
      <c r="W13" s="70">
        <f>IFERROR(SUMPRODUCT((Payment_Data.$B$6:$B$100="VND-005")*(Payment_Data.$J$6:$J$100=W$6)*(Payment_Data.$I$6:$I$100)),0)</f>
        <v/>
      </c>
      <c r="X13" s="71">
        <f>IFERROR(SUMPRODUCT((Payment_Data.$B$6:$B$100="VND-005")*(Payment_Data.$J$6:$J$100=X$6)*(Payment_Data.$I$6:$I$100)),0)</f>
        <v/>
      </c>
      <c r="Y13" s="72">
        <f>IFERROR(SUMPRODUCT((Payment_Data.$B$6:$B$100="VND-005")*(Payment_Data.$J$6:$J$100=Y$6)*(Payment_Data.$I$6:$I$100)),0)</f>
        <v/>
      </c>
      <c r="Z13" s="70">
        <f>IFERROR(SUMPRODUCT((Payment_Data.$B$6:$B$100="VND-005")*(Payment_Data.$J$6:$J$100=Z$6)*(Payment_Data.$I$6:$I$100)),0)</f>
        <v/>
      </c>
      <c r="AA13" s="70">
        <f>IFERROR(SUMPRODUCT((Payment_Data.$B$6:$B$100="VND-005")*(Payment_Data.$J$6:$J$100=AA$6)*(Payment_Data.$I$6:$I$100)),0)</f>
        <v/>
      </c>
      <c r="AB13" s="70">
        <f>IFERROR(SUMPRODUCT((Payment_Data.$B$6:$B$100="VND-005")*(Payment_Data.$J$6:$J$100=AB$6)*(Payment_Data.$I$6:$I$100)),0)</f>
        <v/>
      </c>
      <c r="AC13" s="70">
        <f>IFERROR(SUMPRODUCT((Payment_Data.$B$6:$B$100="VND-005")*(Payment_Data.$J$6:$J$100=AC$6)*(Payment_Data.$I$6:$I$100)),0)</f>
        <v/>
      </c>
      <c r="AD13" s="70">
        <f>IFERROR(SUMPRODUCT((Payment_Data.$B$6:$B$100="VND-005")*(Payment_Data.$J$6:$J$100=AD$6)*(Payment_Data.$I$6:$I$100)),0)</f>
        <v/>
      </c>
      <c r="AE13" s="71">
        <f>IFERROR(SUMPRODUCT((Payment_Data.$B$6:$B$100="VND-005")*(Payment_Data.$J$6:$J$100=AE$6)*(Payment_Data.$I$6:$I$100)),0)</f>
        <v/>
      </c>
      <c r="AF13" s="72">
        <f>IFERROR(SUMPRODUCT((Payment_Data.$B$6:$B$100="VND-005")*(Payment_Data.$J$6:$J$100=AF$6)*(Payment_Data.$I$6:$I$100)),0)</f>
        <v/>
      </c>
      <c r="AG13" s="70">
        <f>IFERROR(SUMPRODUCT((Payment_Data.$B$6:$B$100="VND-005")*(Payment_Data.$J$6:$J$100=AG$6)*(Payment_Data.$I$6:$I$100)),0)</f>
        <v/>
      </c>
      <c r="AH13" s="70">
        <f>IFERROR(SUMPRODUCT((Payment_Data.$B$6:$B$100="VND-005")*(Payment_Data.$J$6:$J$100=AH$6)*(Payment_Data.$I$6:$I$100)),0)</f>
        <v/>
      </c>
      <c r="AI13" s="70">
        <f>IFERROR(SUMPRODUCT((Payment_Data.$B$6:$B$100="VND-005")*(Payment_Data.$J$6:$J$100=AI$6)*(Payment_Data.$I$6:$I$100)),0)</f>
        <v/>
      </c>
      <c r="AJ13" s="70">
        <f>IFERROR(SUMPRODUCT((Payment_Data.$B$6:$B$100="VND-005")*(Payment_Data.$J$6:$J$100=AJ$6)*(Payment_Data.$I$6:$I$100)),0)</f>
        <v/>
      </c>
      <c r="AK13" s="70">
        <f>IFERROR(SUMPRODUCT((Payment_Data.$B$6:$B$100="VND-005")*(Payment_Data.$J$6:$J$100=AK$6)*(Payment_Data.$I$6:$I$100)),0)</f>
        <v/>
      </c>
      <c r="AL13" s="71">
        <f>IFERROR(SUMPRODUCT((Payment_Data.$B$6:$B$100="VND-005")*(Payment_Data.$J$6:$J$100=AL$6)*(Payment_Data.$I$6:$I$100)),0)</f>
        <v/>
      </c>
      <c r="AM13" s="72">
        <f>IFERROR(SUMPRODUCT((Payment_Data.$B$6:$B$100="VND-005")*(Payment_Data.$J$6:$J$100=AM$6)*(Payment_Data.$I$6:$I$100)),0)</f>
        <v/>
      </c>
      <c r="AN13" s="70">
        <f>IFERROR(SUMPRODUCT((Payment_Data.$B$6:$B$100="VND-005")*(Payment_Data.$J$6:$J$100=AN$6)*(Payment_Data.$I$6:$I$100)),0)</f>
        <v/>
      </c>
      <c r="AO13" s="70">
        <f>IFERROR(SUMPRODUCT((Payment_Data.$B$6:$B$100="VND-005")*(Payment_Data.$J$6:$J$100=AO$6)*(Payment_Data.$I$6:$I$100)),0)</f>
        <v/>
      </c>
      <c r="AP13" s="70">
        <f>IFERROR(SUMPRODUCT((Payment_Data.$B$6:$B$100="VND-005")*(Payment_Data.$J$6:$J$100=AP$6)*(Payment_Data.$I$6:$I$100)),0)</f>
        <v/>
      </c>
      <c r="AQ13" s="70">
        <f>IFERROR(SUMPRODUCT((Payment_Data.$B$6:$B$100="VND-005")*(Payment_Data.$J$6:$J$100=AQ$6)*(Payment_Data.$I$6:$I$100)),0)</f>
        <v/>
      </c>
      <c r="AR13" s="70">
        <f>IFERROR(SUMPRODUCT((Payment_Data.$B$6:$B$100="VND-005")*(Payment_Data.$J$6:$J$100=AR$6)*(Payment_Data.$I$6:$I$100)),0)</f>
        <v/>
      </c>
      <c r="AS13" s="71">
        <f>IFERROR(SUMPRODUCT((Payment_Data.$B$6:$B$100="VND-005")*(Payment_Data.$J$6:$J$100=AS$6)*(Payment_Data.$I$6:$I$100)),0)</f>
        <v/>
      </c>
      <c r="AT13" s="72">
        <f>IFERROR(SUMPRODUCT((Payment_Data.$B$6:$B$100="VND-005")*(Payment_Data.$J$6:$J$100=AT$6)*(Payment_Data.$I$6:$I$100)),0)</f>
        <v/>
      </c>
      <c r="AU13" s="70">
        <f>IFERROR(SUMPRODUCT((Payment_Data.$B$6:$B$100="VND-005")*(Payment_Data.$J$6:$J$100=AU$6)*(Payment_Data.$I$6:$I$100)),0)</f>
        <v/>
      </c>
      <c r="AV13" s="70">
        <f>IFERROR(SUMPRODUCT((Payment_Data.$B$6:$B$100="VND-005")*(Payment_Data.$J$6:$J$100=AV$6)*(Payment_Data.$I$6:$I$100)),0)</f>
        <v/>
      </c>
      <c r="AW13" s="70">
        <f>IFERROR(SUMPRODUCT((Payment_Data.$B$6:$B$100="VND-005")*(Payment_Data.$J$6:$J$100=AW$6)*(Payment_Data.$I$6:$I$100)),0)</f>
        <v/>
      </c>
      <c r="AX13" s="70">
        <f>IFERROR(SUMPRODUCT((Payment_Data.$B$6:$B$100="VND-005")*(Payment_Data.$J$6:$J$100=AX$6)*(Payment_Data.$I$6:$I$100)),0)</f>
        <v/>
      </c>
      <c r="AY13" s="70">
        <f>IFERROR(SUMPRODUCT((Payment_Data.$B$6:$B$100="VND-005")*(Payment_Data.$J$6:$J$100=AY$6)*(Payment_Data.$I$6:$I$100)),0)</f>
        <v/>
      </c>
      <c r="AZ13" s="71">
        <f>IFERROR(SUMPRODUCT((Payment_Data.$B$6:$B$100="VND-005")*(Payment_Data.$J$6:$J$100=AZ$6)*(Payment_Data.$I$6:$I$100)),0)</f>
        <v/>
      </c>
      <c r="BA13" s="72">
        <f>IFERROR(SUMPRODUCT((Payment_Data.$B$6:$B$100="VND-005")*(Payment_Data.$J$6:$J$100=BA$6)*(Payment_Data.$I$6:$I$100)),0)</f>
        <v/>
      </c>
      <c r="BB13" s="70">
        <f>IFERROR(SUMPRODUCT((Payment_Data.$B$6:$B$100="VND-005")*(Payment_Data.$J$6:$J$100=BB$6)*(Payment_Data.$I$6:$I$100)),0)</f>
        <v/>
      </c>
      <c r="BC13" s="70">
        <f>IFERROR(SUMPRODUCT((Payment_Data.$B$6:$B$100="VND-005")*(Payment_Data.$J$6:$J$100=BC$6)*(Payment_Data.$I$6:$I$100)),0)</f>
        <v/>
      </c>
      <c r="BD13" s="70">
        <f>IFERROR(SUMPRODUCT((Payment_Data.$B$6:$B$100="VND-005")*(Payment_Data.$J$6:$J$100=BD$6)*(Payment_Data.$I$6:$I$100)),0)</f>
        <v/>
      </c>
      <c r="BE13" s="70">
        <f>IFERROR(SUMPRODUCT((Payment_Data.$B$6:$B$100="VND-005")*(Payment_Data.$J$6:$J$100=BE$6)*(Payment_Data.$I$6:$I$100)),0)</f>
        <v/>
      </c>
      <c r="BF13" s="70">
        <f>IFERROR(SUMPRODUCT((Payment_Data.$B$6:$B$100="VND-005")*(Payment_Data.$J$6:$J$100=BF$6)*(Payment_Data.$I$6:$I$100)),0)</f>
        <v/>
      </c>
      <c r="BG13" s="71">
        <f>IFERROR(SUMPRODUCT((Payment_Data.$B$6:$B$100="VND-005")*(Payment_Data.$J$6:$J$100=BG$6)*(Payment_Data.$I$6:$I$100)),0)</f>
        <v/>
      </c>
      <c r="BH13" s="72">
        <f>IFERROR(SUMPRODUCT((Payment_Data.$B$6:$B$100="VND-005")*(Payment_Data.$J$6:$J$100=BH$6)*(Payment_Data.$I$6:$I$100)),0)</f>
        <v/>
      </c>
      <c r="BI13" s="70">
        <f>IFERROR(SUMPRODUCT((Payment_Data.$B$6:$B$100="VND-005")*(Payment_Data.$J$6:$J$100=BI$6)*(Payment_Data.$I$6:$I$100)),0)</f>
        <v/>
      </c>
      <c r="BJ13" s="70">
        <f>IFERROR(SUMPRODUCT((Payment_Data.$B$6:$B$100="VND-005")*(Payment_Data.$J$6:$J$100=BJ$6)*(Payment_Data.$I$6:$I$100)),0)</f>
        <v/>
      </c>
      <c r="BK13" s="70">
        <f>IFERROR(SUMPRODUCT((Payment_Data.$B$6:$B$100="VND-005")*(Payment_Data.$J$6:$J$100=BK$6)*(Payment_Data.$I$6:$I$100)),0)</f>
        <v/>
      </c>
      <c r="BL13" s="70">
        <f>IFERROR(SUMPRODUCT((Payment_Data.$B$6:$B$100="VND-005")*(Payment_Data.$J$6:$J$100=BL$6)*(Payment_Data.$I$6:$I$100)),0)</f>
        <v/>
      </c>
    </row>
    <row r="14">
      <c r="A14" s="79" t="inlineStr">
        <is>
          <t>VENDOR</t>
        </is>
      </c>
      <c r="B14" s="32" t="inlineStr">
        <is>
          <t>Office Supplies Co</t>
        </is>
      </c>
      <c r="C14" s="10" t="inlineStr">
        <is>
          <t>SAR</t>
        </is>
      </c>
      <c r="D14" s="10">
        <f>IFERROR(INDEX(Payment_Data.$L$6:$L$100,MATCH("VND-006",Payment_Data.$B$6:$B$100,0)),"")</f>
        <v/>
      </c>
      <c r="E14" s="70">
        <f>IFERROR(SUMPRODUCT((Payment_Data.$B$6:$B$100="VND-006")*(Payment_Data.$J$6:$J$100=E$6)*(Payment_Data.$I$6:$I$100)),0)</f>
        <v/>
      </c>
      <c r="F14" s="70">
        <f>IFERROR(SUMPRODUCT((Payment_Data.$B$6:$B$100="VND-006")*(Payment_Data.$J$6:$J$100=F$6)*(Payment_Data.$I$6:$I$100)),0)</f>
        <v/>
      </c>
      <c r="G14" s="70">
        <f>IFERROR(SUMPRODUCT((Payment_Data.$B$6:$B$100="VND-006")*(Payment_Data.$J$6:$J$100=G$6)*(Payment_Data.$I$6:$I$100)),0)</f>
        <v/>
      </c>
      <c r="H14" s="70">
        <f>IFERROR(SUMPRODUCT((Payment_Data.$B$6:$B$100="VND-006")*(Payment_Data.$J$6:$J$100=H$6)*(Payment_Data.$I$6:$I$100)),0)</f>
        <v/>
      </c>
      <c r="I14" s="70">
        <f>IFERROR(SUMPRODUCT((Payment_Data.$B$6:$B$100="VND-006")*(Payment_Data.$J$6:$J$100=I$6)*(Payment_Data.$I$6:$I$100)),0)</f>
        <v/>
      </c>
      <c r="J14" s="71">
        <f>IFERROR(SUMPRODUCT((Payment_Data.$B$6:$B$100="VND-006")*(Payment_Data.$J$6:$J$100=J$6)*(Payment_Data.$I$6:$I$100)),0)</f>
        <v/>
      </c>
      <c r="K14" s="72">
        <f>IFERROR(SUMPRODUCT((Payment_Data.$B$6:$B$100="VND-006")*(Payment_Data.$J$6:$J$100=K$6)*(Payment_Data.$I$6:$I$100)),0)</f>
        <v/>
      </c>
      <c r="L14" s="70">
        <f>IFERROR(SUMPRODUCT((Payment_Data.$B$6:$B$100="VND-006")*(Payment_Data.$J$6:$J$100=L$6)*(Payment_Data.$I$6:$I$100)),0)</f>
        <v/>
      </c>
      <c r="M14" s="70">
        <f>IFERROR(SUMPRODUCT((Payment_Data.$B$6:$B$100="VND-006")*(Payment_Data.$J$6:$J$100=M$6)*(Payment_Data.$I$6:$I$100)),0)</f>
        <v/>
      </c>
      <c r="N14" s="70">
        <f>IFERROR(SUMPRODUCT((Payment_Data.$B$6:$B$100="VND-006")*(Payment_Data.$J$6:$J$100=N$6)*(Payment_Data.$I$6:$I$100)),0)</f>
        <v/>
      </c>
      <c r="O14" s="70">
        <f>IFERROR(SUMPRODUCT((Payment_Data.$B$6:$B$100="VND-006")*(Payment_Data.$J$6:$J$100=O$6)*(Payment_Data.$I$6:$I$100)),0)</f>
        <v/>
      </c>
      <c r="P14" s="70">
        <f>IFERROR(SUMPRODUCT((Payment_Data.$B$6:$B$100="VND-006")*(Payment_Data.$J$6:$J$100=P$6)*(Payment_Data.$I$6:$I$100)),0)</f>
        <v/>
      </c>
      <c r="Q14" s="71">
        <f>IFERROR(SUMPRODUCT((Payment_Data.$B$6:$B$100="VND-006")*(Payment_Data.$J$6:$J$100=Q$6)*(Payment_Data.$I$6:$I$100)),0)</f>
        <v/>
      </c>
      <c r="R14" s="72">
        <f>IFERROR(SUMPRODUCT((Payment_Data.$B$6:$B$100="VND-006")*(Payment_Data.$J$6:$J$100=R$6)*(Payment_Data.$I$6:$I$100)),0)</f>
        <v/>
      </c>
      <c r="S14" s="70">
        <f>IFERROR(SUMPRODUCT((Payment_Data.$B$6:$B$100="VND-006")*(Payment_Data.$J$6:$J$100=S$6)*(Payment_Data.$I$6:$I$100)),0)</f>
        <v/>
      </c>
      <c r="T14" s="70">
        <f>IFERROR(SUMPRODUCT((Payment_Data.$B$6:$B$100="VND-006")*(Payment_Data.$J$6:$J$100=T$6)*(Payment_Data.$I$6:$I$100)),0)</f>
        <v/>
      </c>
      <c r="U14" s="70">
        <f>IFERROR(SUMPRODUCT((Payment_Data.$B$6:$B$100="VND-006")*(Payment_Data.$J$6:$J$100=U$6)*(Payment_Data.$I$6:$I$100)),0)</f>
        <v/>
      </c>
      <c r="V14" s="70">
        <f>IFERROR(SUMPRODUCT((Payment_Data.$B$6:$B$100="VND-006")*(Payment_Data.$J$6:$J$100=V$6)*(Payment_Data.$I$6:$I$100)),0)</f>
        <v/>
      </c>
      <c r="W14" s="70">
        <f>IFERROR(SUMPRODUCT((Payment_Data.$B$6:$B$100="VND-006")*(Payment_Data.$J$6:$J$100=W$6)*(Payment_Data.$I$6:$I$100)),0)</f>
        <v/>
      </c>
      <c r="X14" s="71">
        <f>IFERROR(SUMPRODUCT((Payment_Data.$B$6:$B$100="VND-006")*(Payment_Data.$J$6:$J$100=X$6)*(Payment_Data.$I$6:$I$100)),0)</f>
        <v/>
      </c>
      <c r="Y14" s="72">
        <f>IFERROR(SUMPRODUCT((Payment_Data.$B$6:$B$100="VND-006")*(Payment_Data.$J$6:$J$100=Y$6)*(Payment_Data.$I$6:$I$100)),0)</f>
        <v/>
      </c>
      <c r="Z14" s="70">
        <f>IFERROR(SUMPRODUCT((Payment_Data.$B$6:$B$100="VND-006")*(Payment_Data.$J$6:$J$100=Z$6)*(Payment_Data.$I$6:$I$100)),0)</f>
        <v/>
      </c>
      <c r="AA14" s="70">
        <f>IFERROR(SUMPRODUCT((Payment_Data.$B$6:$B$100="VND-006")*(Payment_Data.$J$6:$J$100=AA$6)*(Payment_Data.$I$6:$I$100)),0)</f>
        <v/>
      </c>
      <c r="AB14" s="70">
        <f>IFERROR(SUMPRODUCT((Payment_Data.$B$6:$B$100="VND-006")*(Payment_Data.$J$6:$J$100=AB$6)*(Payment_Data.$I$6:$I$100)),0)</f>
        <v/>
      </c>
      <c r="AC14" s="70">
        <f>IFERROR(SUMPRODUCT((Payment_Data.$B$6:$B$100="VND-006")*(Payment_Data.$J$6:$J$100=AC$6)*(Payment_Data.$I$6:$I$100)),0)</f>
        <v/>
      </c>
      <c r="AD14" s="70">
        <f>IFERROR(SUMPRODUCT((Payment_Data.$B$6:$B$100="VND-006")*(Payment_Data.$J$6:$J$100=AD$6)*(Payment_Data.$I$6:$I$100)),0)</f>
        <v/>
      </c>
      <c r="AE14" s="71">
        <f>IFERROR(SUMPRODUCT((Payment_Data.$B$6:$B$100="VND-006")*(Payment_Data.$J$6:$J$100=AE$6)*(Payment_Data.$I$6:$I$100)),0)</f>
        <v/>
      </c>
      <c r="AF14" s="72">
        <f>IFERROR(SUMPRODUCT((Payment_Data.$B$6:$B$100="VND-006")*(Payment_Data.$J$6:$J$100=AF$6)*(Payment_Data.$I$6:$I$100)),0)</f>
        <v/>
      </c>
      <c r="AG14" s="70">
        <f>IFERROR(SUMPRODUCT((Payment_Data.$B$6:$B$100="VND-006")*(Payment_Data.$J$6:$J$100=AG$6)*(Payment_Data.$I$6:$I$100)),0)</f>
        <v/>
      </c>
      <c r="AH14" s="70">
        <f>IFERROR(SUMPRODUCT((Payment_Data.$B$6:$B$100="VND-006")*(Payment_Data.$J$6:$J$100=AH$6)*(Payment_Data.$I$6:$I$100)),0)</f>
        <v/>
      </c>
      <c r="AI14" s="70">
        <f>IFERROR(SUMPRODUCT((Payment_Data.$B$6:$B$100="VND-006")*(Payment_Data.$J$6:$J$100=AI$6)*(Payment_Data.$I$6:$I$100)),0)</f>
        <v/>
      </c>
      <c r="AJ14" s="70">
        <f>IFERROR(SUMPRODUCT((Payment_Data.$B$6:$B$100="VND-006")*(Payment_Data.$J$6:$J$100=AJ$6)*(Payment_Data.$I$6:$I$100)),0)</f>
        <v/>
      </c>
      <c r="AK14" s="70">
        <f>IFERROR(SUMPRODUCT((Payment_Data.$B$6:$B$100="VND-006")*(Payment_Data.$J$6:$J$100=AK$6)*(Payment_Data.$I$6:$I$100)),0)</f>
        <v/>
      </c>
      <c r="AL14" s="71">
        <f>IFERROR(SUMPRODUCT((Payment_Data.$B$6:$B$100="VND-006")*(Payment_Data.$J$6:$J$100=AL$6)*(Payment_Data.$I$6:$I$100)),0)</f>
        <v/>
      </c>
      <c r="AM14" s="72">
        <f>IFERROR(SUMPRODUCT((Payment_Data.$B$6:$B$100="VND-006")*(Payment_Data.$J$6:$J$100=AM$6)*(Payment_Data.$I$6:$I$100)),0)</f>
        <v/>
      </c>
      <c r="AN14" s="70">
        <f>IFERROR(SUMPRODUCT((Payment_Data.$B$6:$B$100="VND-006")*(Payment_Data.$J$6:$J$100=AN$6)*(Payment_Data.$I$6:$I$100)),0)</f>
        <v/>
      </c>
      <c r="AO14" s="70">
        <f>IFERROR(SUMPRODUCT((Payment_Data.$B$6:$B$100="VND-006")*(Payment_Data.$J$6:$J$100=AO$6)*(Payment_Data.$I$6:$I$100)),0)</f>
        <v/>
      </c>
      <c r="AP14" s="70">
        <f>IFERROR(SUMPRODUCT((Payment_Data.$B$6:$B$100="VND-006")*(Payment_Data.$J$6:$J$100=AP$6)*(Payment_Data.$I$6:$I$100)),0)</f>
        <v/>
      </c>
      <c r="AQ14" s="70">
        <f>IFERROR(SUMPRODUCT((Payment_Data.$B$6:$B$100="VND-006")*(Payment_Data.$J$6:$J$100=AQ$6)*(Payment_Data.$I$6:$I$100)),0)</f>
        <v/>
      </c>
      <c r="AR14" s="70">
        <f>IFERROR(SUMPRODUCT((Payment_Data.$B$6:$B$100="VND-006")*(Payment_Data.$J$6:$J$100=AR$6)*(Payment_Data.$I$6:$I$100)),0)</f>
        <v/>
      </c>
      <c r="AS14" s="71">
        <f>IFERROR(SUMPRODUCT((Payment_Data.$B$6:$B$100="VND-006")*(Payment_Data.$J$6:$J$100=AS$6)*(Payment_Data.$I$6:$I$100)),0)</f>
        <v/>
      </c>
      <c r="AT14" s="72">
        <f>IFERROR(SUMPRODUCT((Payment_Data.$B$6:$B$100="VND-006")*(Payment_Data.$J$6:$J$100=AT$6)*(Payment_Data.$I$6:$I$100)),0)</f>
        <v/>
      </c>
      <c r="AU14" s="70">
        <f>IFERROR(SUMPRODUCT((Payment_Data.$B$6:$B$100="VND-006")*(Payment_Data.$J$6:$J$100=AU$6)*(Payment_Data.$I$6:$I$100)),0)</f>
        <v/>
      </c>
      <c r="AV14" s="70">
        <f>IFERROR(SUMPRODUCT((Payment_Data.$B$6:$B$100="VND-006")*(Payment_Data.$J$6:$J$100=AV$6)*(Payment_Data.$I$6:$I$100)),0)</f>
        <v/>
      </c>
      <c r="AW14" s="70">
        <f>IFERROR(SUMPRODUCT((Payment_Data.$B$6:$B$100="VND-006")*(Payment_Data.$J$6:$J$100=AW$6)*(Payment_Data.$I$6:$I$100)),0)</f>
        <v/>
      </c>
      <c r="AX14" s="70">
        <f>IFERROR(SUMPRODUCT((Payment_Data.$B$6:$B$100="VND-006")*(Payment_Data.$J$6:$J$100=AX$6)*(Payment_Data.$I$6:$I$100)),0)</f>
        <v/>
      </c>
      <c r="AY14" s="70">
        <f>IFERROR(SUMPRODUCT((Payment_Data.$B$6:$B$100="VND-006")*(Payment_Data.$J$6:$J$100=AY$6)*(Payment_Data.$I$6:$I$100)),0)</f>
        <v/>
      </c>
      <c r="AZ14" s="71">
        <f>IFERROR(SUMPRODUCT((Payment_Data.$B$6:$B$100="VND-006")*(Payment_Data.$J$6:$J$100=AZ$6)*(Payment_Data.$I$6:$I$100)),0)</f>
        <v/>
      </c>
      <c r="BA14" s="72">
        <f>IFERROR(SUMPRODUCT((Payment_Data.$B$6:$B$100="VND-006")*(Payment_Data.$J$6:$J$100=BA$6)*(Payment_Data.$I$6:$I$100)),0)</f>
        <v/>
      </c>
      <c r="BB14" s="70">
        <f>IFERROR(SUMPRODUCT((Payment_Data.$B$6:$B$100="VND-006")*(Payment_Data.$J$6:$J$100=BB$6)*(Payment_Data.$I$6:$I$100)),0)</f>
        <v/>
      </c>
      <c r="BC14" s="70">
        <f>IFERROR(SUMPRODUCT((Payment_Data.$B$6:$B$100="VND-006")*(Payment_Data.$J$6:$J$100=BC$6)*(Payment_Data.$I$6:$I$100)),0)</f>
        <v/>
      </c>
      <c r="BD14" s="70">
        <f>IFERROR(SUMPRODUCT((Payment_Data.$B$6:$B$100="VND-006")*(Payment_Data.$J$6:$J$100=BD$6)*(Payment_Data.$I$6:$I$100)),0)</f>
        <v/>
      </c>
      <c r="BE14" s="70">
        <f>IFERROR(SUMPRODUCT((Payment_Data.$B$6:$B$100="VND-006")*(Payment_Data.$J$6:$J$100=BE$6)*(Payment_Data.$I$6:$I$100)),0)</f>
        <v/>
      </c>
      <c r="BF14" s="70">
        <f>IFERROR(SUMPRODUCT((Payment_Data.$B$6:$B$100="VND-006")*(Payment_Data.$J$6:$J$100=BF$6)*(Payment_Data.$I$6:$I$100)),0)</f>
        <v/>
      </c>
      <c r="BG14" s="71">
        <f>IFERROR(SUMPRODUCT((Payment_Data.$B$6:$B$100="VND-006")*(Payment_Data.$J$6:$J$100=BG$6)*(Payment_Data.$I$6:$I$100)),0)</f>
        <v/>
      </c>
      <c r="BH14" s="72">
        <f>IFERROR(SUMPRODUCT((Payment_Data.$B$6:$B$100="VND-006")*(Payment_Data.$J$6:$J$100=BH$6)*(Payment_Data.$I$6:$I$100)),0)</f>
        <v/>
      </c>
      <c r="BI14" s="70">
        <f>IFERROR(SUMPRODUCT((Payment_Data.$B$6:$B$100="VND-006")*(Payment_Data.$J$6:$J$100=BI$6)*(Payment_Data.$I$6:$I$100)),0)</f>
        <v/>
      </c>
      <c r="BJ14" s="70">
        <f>IFERROR(SUMPRODUCT((Payment_Data.$B$6:$B$100="VND-006")*(Payment_Data.$J$6:$J$100=BJ$6)*(Payment_Data.$I$6:$I$100)),0)</f>
        <v/>
      </c>
      <c r="BK14" s="70">
        <f>IFERROR(SUMPRODUCT((Payment_Data.$B$6:$B$100="VND-006")*(Payment_Data.$J$6:$J$100=BK$6)*(Payment_Data.$I$6:$I$100)),0)</f>
        <v/>
      </c>
      <c r="BL14" s="70">
        <f>IFERROR(SUMPRODUCT((Payment_Data.$B$6:$B$100="VND-006")*(Payment_Data.$J$6:$J$100=BL$6)*(Payment_Data.$I$6:$I$100)),0)</f>
        <v/>
      </c>
    </row>
    <row r="15">
      <c r="A15" s="66" t="inlineStr">
        <is>
          <t>HUMAN RESOURCES</t>
        </is>
      </c>
      <c r="B15" s="94" t="n"/>
      <c r="C15" s="94" t="n"/>
      <c r="D15" s="95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</row>
    <row r="16">
      <c r="A16" s="80" t="inlineStr">
        <is>
          <t>HR</t>
        </is>
      </c>
      <c r="B16" s="32" t="inlineStr">
        <is>
          <t>Monthly Payroll</t>
        </is>
      </c>
      <c r="C16" s="10" t="inlineStr">
        <is>
          <t>SAR</t>
        </is>
      </c>
      <c r="D16" s="10">
        <f>IFERROR(INDEX(Payment_Data.$L$6:$L$100,MATCH("HR-001",Payment_Data.$B$6:$B$100,0)),"")</f>
        <v/>
      </c>
      <c r="E16" s="70">
        <f>IFERROR(SUMPRODUCT((Payment_Data.$B$6:$B$100="HR-001")*(Payment_Data.$J$6:$J$100=E$6)*(Payment_Data.$I$6:$I$100)),0)</f>
        <v/>
      </c>
      <c r="F16" s="70">
        <f>IFERROR(SUMPRODUCT((Payment_Data.$B$6:$B$100="HR-001")*(Payment_Data.$J$6:$J$100=F$6)*(Payment_Data.$I$6:$I$100)),0)</f>
        <v/>
      </c>
      <c r="G16" s="70">
        <f>IFERROR(SUMPRODUCT((Payment_Data.$B$6:$B$100="HR-001")*(Payment_Data.$J$6:$J$100=G$6)*(Payment_Data.$I$6:$I$100)),0)</f>
        <v/>
      </c>
      <c r="H16" s="70">
        <f>IFERROR(SUMPRODUCT((Payment_Data.$B$6:$B$100="HR-001")*(Payment_Data.$J$6:$J$100=H$6)*(Payment_Data.$I$6:$I$100)),0)</f>
        <v/>
      </c>
      <c r="I16" s="70">
        <f>IFERROR(SUMPRODUCT((Payment_Data.$B$6:$B$100="HR-001")*(Payment_Data.$J$6:$J$100=I$6)*(Payment_Data.$I$6:$I$100)),0)</f>
        <v/>
      </c>
      <c r="J16" s="71">
        <f>IFERROR(SUMPRODUCT((Payment_Data.$B$6:$B$100="HR-001")*(Payment_Data.$J$6:$J$100=J$6)*(Payment_Data.$I$6:$I$100)),0)</f>
        <v/>
      </c>
      <c r="K16" s="72">
        <f>IFERROR(SUMPRODUCT((Payment_Data.$B$6:$B$100="HR-001")*(Payment_Data.$J$6:$J$100=K$6)*(Payment_Data.$I$6:$I$100)),0)</f>
        <v/>
      </c>
      <c r="L16" s="70">
        <f>IFERROR(SUMPRODUCT((Payment_Data.$B$6:$B$100="HR-001")*(Payment_Data.$J$6:$J$100=L$6)*(Payment_Data.$I$6:$I$100)),0)</f>
        <v/>
      </c>
      <c r="M16" s="70">
        <f>IFERROR(SUMPRODUCT((Payment_Data.$B$6:$B$100="HR-001")*(Payment_Data.$J$6:$J$100=M$6)*(Payment_Data.$I$6:$I$100)),0)</f>
        <v/>
      </c>
      <c r="N16" s="70">
        <f>IFERROR(SUMPRODUCT((Payment_Data.$B$6:$B$100="HR-001")*(Payment_Data.$J$6:$J$100=N$6)*(Payment_Data.$I$6:$I$100)),0)</f>
        <v/>
      </c>
      <c r="O16" s="70">
        <f>IFERROR(SUMPRODUCT((Payment_Data.$B$6:$B$100="HR-001")*(Payment_Data.$J$6:$J$100=O$6)*(Payment_Data.$I$6:$I$100)),0)</f>
        <v/>
      </c>
      <c r="P16" s="70">
        <f>IFERROR(SUMPRODUCT((Payment_Data.$B$6:$B$100="HR-001")*(Payment_Data.$J$6:$J$100=P$6)*(Payment_Data.$I$6:$I$100)),0)</f>
        <v/>
      </c>
      <c r="Q16" s="71">
        <f>IFERROR(SUMPRODUCT((Payment_Data.$B$6:$B$100="HR-001")*(Payment_Data.$J$6:$J$100=Q$6)*(Payment_Data.$I$6:$I$100)),0)</f>
        <v/>
      </c>
      <c r="R16" s="72">
        <f>IFERROR(SUMPRODUCT((Payment_Data.$B$6:$B$100="HR-001")*(Payment_Data.$J$6:$J$100=R$6)*(Payment_Data.$I$6:$I$100)),0)</f>
        <v/>
      </c>
      <c r="S16" s="70">
        <f>IFERROR(SUMPRODUCT((Payment_Data.$B$6:$B$100="HR-001")*(Payment_Data.$J$6:$J$100=S$6)*(Payment_Data.$I$6:$I$100)),0)</f>
        <v/>
      </c>
      <c r="T16" s="70">
        <f>IFERROR(SUMPRODUCT((Payment_Data.$B$6:$B$100="HR-001")*(Payment_Data.$J$6:$J$100=T$6)*(Payment_Data.$I$6:$I$100)),0)</f>
        <v/>
      </c>
      <c r="U16" s="70">
        <f>IFERROR(SUMPRODUCT((Payment_Data.$B$6:$B$100="HR-001")*(Payment_Data.$J$6:$J$100=U$6)*(Payment_Data.$I$6:$I$100)),0)</f>
        <v/>
      </c>
      <c r="V16" s="70">
        <f>IFERROR(SUMPRODUCT((Payment_Data.$B$6:$B$100="HR-001")*(Payment_Data.$J$6:$J$100=V$6)*(Payment_Data.$I$6:$I$100)),0)</f>
        <v/>
      </c>
      <c r="W16" s="70">
        <f>IFERROR(SUMPRODUCT((Payment_Data.$B$6:$B$100="HR-001")*(Payment_Data.$J$6:$J$100=W$6)*(Payment_Data.$I$6:$I$100)),0)</f>
        <v/>
      </c>
      <c r="X16" s="71">
        <f>IFERROR(SUMPRODUCT((Payment_Data.$B$6:$B$100="HR-001")*(Payment_Data.$J$6:$J$100=X$6)*(Payment_Data.$I$6:$I$100)),0)</f>
        <v/>
      </c>
      <c r="Y16" s="72">
        <f>IFERROR(SUMPRODUCT((Payment_Data.$B$6:$B$100="HR-001")*(Payment_Data.$J$6:$J$100=Y$6)*(Payment_Data.$I$6:$I$100)),0)</f>
        <v/>
      </c>
      <c r="Z16" s="70">
        <f>IFERROR(SUMPRODUCT((Payment_Data.$B$6:$B$100="HR-001")*(Payment_Data.$J$6:$J$100=Z$6)*(Payment_Data.$I$6:$I$100)),0)</f>
        <v/>
      </c>
      <c r="AA16" s="70">
        <f>IFERROR(SUMPRODUCT((Payment_Data.$B$6:$B$100="HR-001")*(Payment_Data.$J$6:$J$100=AA$6)*(Payment_Data.$I$6:$I$100)),0)</f>
        <v/>
      </c>
      <c r="AB16" s="70">
        <f>IFERROR(SUMPRODUCT((Payment_Data.$B$6:$B$100="HR-001")*(Payment_Data.$J$6:$J$100=AB$6)*(Payment_Data.$I$6:$I$100)),0)</f>
        <v/>
      </c>
      <c r="AC16" s="70">
        <f>IFERROR(SUMPRODUCT((Payment_Data.$B$6:$B$100="HR-001")*(Payment_Data.$J$6:$J$100=AC$6)*(Payment_Data.$I$6:$I$100)),0)</f>
        <v/>
      </c>
      <c r="AD16" s="70">
        <f>IFERROR(SUMPRODUCT((Payment_Data.$B$6:$B$100="HR-001")*(Payment_Data.$J$6:$J$100=AD$6)*(Payment_Data.$I$6:$I$100)),0)</f>
        <v/>
      </c>
      <c r="AE16" s="71">
        <f>IFERROR(SUMPRODUCT((Payment_Data.$B$6:$B$100="HR-001")*(Payment_Data.$J$6:$J$100=AE$6)*(Payment_Data.$I$6:$I$100)),0)</f>
        <v/>
      </c>
      <c r="AF16" s="72">
        <f>IFERROR(SUMPRODUCT((Payment_Data.$B$6:$B$100="HR-001")*(Payment_Data.$J$6:$J$100=AF$6)*(Payment_Data.$I$6:$I$100)),0)</f>
        <v/>
      </c>
      <c r="AG16" s="70">
        <f>IFERROR(SUMPRODUCT((Payment_Data.$B$6:$B$100="HR-001")*(Payment_Data.$J$6:$J$100=AG$6)*(Payment_Data.$I$6:$I$100)),0)</f>
        <v/>
      </c>
      <c r="AH16" s="70">
        <f>IFERROR(SUMPRODUCT((Payment_Data.$B$6:$B$100="HR-001")*(Payment_Data.$J$6:$J$100=AH$6)*(Payment_Data.$I$6:$I$100)),0)</f>
        <v/>
      </c>
      <c r="AI16" s="70">
        <f>IFERROR(SUMPRODUCT((Payment_Data.$B$6:$B$100="HR-001")*(Payment_Data.$J$6:$J$100=AI$6)*(Payment_Data.$I$6:$I$100)),0)</f>
        <v/>
      </c>
      <c r="AJ16" s="70">
        <f>IFERROR(SUMPRODUCT((Payment_Data.$B$6:$B$100="HR-001")*(Payment_Data.$J$6:$J$100=AJ$6)*(Payment_Data.$I$6:$I$100)),0)</f>
        <v/>
      </c>
      <c r="AK16" s="70">
        <f>IFERROR(SUMPRODUCT((Payment_Data.$B$6:$B$100="HR-001")*(Payment_Data.$J$6:$J$100=AK$6)*(Payment_Data.$I$6:$I$100)),0)</f>
        <v/>
      </c>
      <c r="AL16" s="71">
        <f>IFERROR(SUMPRODUCT((Payment_Data.$B$6:$B$100="HR-001")*(Payment_Data.$J$6:$J$100=AL$6)*(Payment_Data.$I$6:$I$100)),0)</f>
        <v/>
      </c>
      <c r="AM16" s="72">
        <f>IFERROR(SUMPRODUCT((Payment_Data.$B$6:$B$100="HR-001")*(Payment_Data.$J$6:$J$100=AM$6)*(Payment_Data.$I$6:$I$100)),0)</f>
        <v/>
      </c>
      <c r="AN16" s="70">
        <f>IFERROR(SUMPRODUCT((Payment_Data.$B$6:$B$100="HR-001")*(Payment_Data.$J$6:$J$100=AN$6)*(Payment_Data.$I$6:$I$100)),0)</f>
        <v/>
      </c>
      <c r="AO16" s="70">
        <f>IFERROR(SUMPRODUCT((Payment_Data.$B$6:$B$100="HR-001")*(Payment_Data.$J$6:$J$100=AO$6)*(Payment_Data.$I$6:$I$100)),0)</f>
        <v/>
      </c>
      <c r="AP16" s="70">
        <f>IFERROR(SUMPRODUCT((Payment_Data.$B$6:$B$100="HR-001")*(Payment_Data.$J$6:$J$100=AP$6)*(Payment_Data.$I$6:$I$100)),0)</f>
        <v/>
      </c>
      <c r="AQ16" s="70">
        <f>IFERROR(SUMPRODUCT((Payment_Data.$B$6:$B$100="HR-001")*(Payment_Data.$J$6:$J$100=AQ$6)*(Payment_Data.$I$6:$I$100)),0)</f>
        <v/>
      </c>
      <c r="AR16" s="70">
        <f>IFERROR(SUMPRODUCT((Payment_Data.$B$6:$B$100="HR-001")*(Payment_Data.$J$6:$J$100=AR$6)*(Payment_Data.$I$6:$I$100)),0)</f>
        <v/>
      </c>
      <c r="AS16" s="71">
        <f>IFERROR(SUMPRODUCT((Payment_Data.$B$6:$B$100="HR-001")*(Payment_Data.$J$6:$J$100=AS$6)*(Payment_Data.$I$6:$I$100)),0)</f>
        <v/>
      </c>
      <c r="AT16" s="72">
        <f>IFERROR(SUMPRODUCT((Payment_Data.$B$6:$B$100="HR-001")*(Payment_Data.$J$6:$J$100=AT$6)*(Payment_Data.$I$6:$I$100)),0)</f>
        <v/>
      </c>
      <c r="AU16" s="70">
        <f>IFERROR(SUMPRODUCT((Payment_Data.$B$6:$B$100="HR-001")*(Payment_Data.$J$6:$J$100=AU$6)*(Payment_Data.$I$6:$I$100)),0)</f>
        <v/>
      </c>
      <c r="AV16" s="70">
        <f>IFERROR(SUMPRODUCT((Payment_Data.$B$6:$B$100="HR-001")*(Payment_Data.$J$6:$J$100=AV$6)*(Payment_Data.$I$6:$I$100)),0)</f>
        <v/>
      </c>
      <c r="AW16" s="70">
        <f>IFERROR(SUMPRODUCT((Payment_Data.$B$6:$B$100="HR-001")*(Payment_Data.$J$6:$J$100=AW$6)*(Payment_Data.$I$6:$I$100)),0)</f>
        <v/>
      </c>
      <c r="AX16" s="70">
        <f>IFERROR(SUMPRODUCT((Payment_Data.$B$6:$B$100="HR-001")*(Payment_Data.$J$6:$J$100=AX$6)*(Payment_Data.$I$6:$I$100)),0)</f>
        <v/>
      </c>
      <c r="AY16" s="70">
        <f>IFERROR(SUMPRODUCT((Payment_Data.$B$6:$B$100="HR-001")*(Payment_Data.$J$6:$J$100=AY$6)*(Payment_Data.$I$6:$I$100)),0)</f>
        <v/>
      </c>
      <c r="AZ16" s="71">
        <f>IFERROR(SUMPRODUCT((Payment_Data.$B$6:$B$100="HR-001")*(Payment_Data.$J$6:$J$100=AZ$6)*(Payment_Data.$I$6:$I$100)),0)</f>
        <v/>
      </c>
      <c r="BA16" s="72">
        <f>IFERROR(SUMPRODUCT((Payment_Data.$B$6:$B$100="HR-001")*(Payment_Data.$J$6:$J$100=BA$6)*(Payment_Data.$I$6:$I$100)),0)</f>
        <v/>
      </c>
      <c r="BB16" s="70">
        <f>IFERROR(SUMPRODUCT((Payment_Data.$B$6:$B$100="HR-001")*(Payment_Data.$J$6:$J$100=BB$6)*(Payment_Data.$I$6:$I$100)),0)</f>
        <v/>
      </c>
      <c r="BC16" s="70">
        <f>IFERROR(SUMPRODUCT((Payment_Data.$B$6:$B$100="HR-001")*(Payment_Data.$J$6:$J$100=BC$6)*(Payment_Data.$I$6:$I$100)),0)</f>
        <v/>
      </c>
      <c r="BD16" s="70">
        <f>IFERROR(SUMPRODUCT((Payment_Data.$B$6:$B$100="HR-001")*(Payment_Data.$J$6:$J$100=BD$6)*(Payment_Data.$I$6:$I$100)),0)</f>
        <v/>
      </c>
      <c r="BE16" s="70">
        <f>IFERROR(SUMPRODUCT((Payment_Data.$B$6:$B$100="HR-001")*(Payment_Data.$J$6:$J$100=BE$6)*(Payment_Data.$I$6:$I$100)),0)</f>
        <v/>
      </c>
      <c r="BF16" s="70">
        <f>IFERROR(SUMPRODUCT((Payment_Data.$B$6:$B$100="HR-001")*(Payment_Data.$J$6:$J$100=BF$6)*(Payment_Data.$I$6:$I$100)),0)</f>
        <v/>
      </c>
      <c r="BG16" s="71">
        <f>IFERROR(SUMPRODUCT((Payment_Data.$B$6:$B$100="HR-001")*(Payment_Data.$J$6:$J$100=BG$6)*(Payment_Data.$I$6:$I$100)),0)</f>
        <v/>
      </c>
      <c r="BH16" s="72">
        <f>IFERROR(SUMPRODUCT((Payment_Data.$B$6:$B$100="HR-001")*(Payment_Data.$J$6:$J$100=BH$6)*(Payment_Data.$I$6:$I$100)),0)</f>
        <v/>
      </c>
      <c r="BI16" s="70">
        <f>IFERROR(SUMPRODUCT((Payment_Data.$B$6:$B$100="HR-001")*(Payment_Data.$J$6:$J$100=BI$6)*(Payment_Data.$I$6:$I$100)),0)</f>
        <v/>
      </c>
      <c r="BJ16" s="70">
        <f>IFERROR(SUMPRODUCT((Payment_Data.$B$6:$B$100="HR-001")*(Payment_Data.$J$6:$J$100=BJ$6)*(Payment_Data.$I$6:$I$100)),0)</f>
        <v/>
      </c>
      <c r="BK16" s="70">
        <f>IFERROR(SUMPRODUCT((Payment_Data.$B$6:$B$100="HR-001")*(Payment_Data.$J$6:$J$100=BK$6)*(Payment_Data.$I$6:$I$100)),0)</f>
        <v/>
      </c>
      <c r="BL16" s="70">
        <f>IFERROR(SUMPRODUCT((Payment_Data.$B$6:$B$100="HR-001")*(Payment_Data.$J$6:$J$100=BL$6)*(Payment_Data.$I$6:$I$100)),0)</f>
        <v/>
      </c>
    </row>
    <row r="17">
      <c r="A17" s="80" t="inlineStr">
        <is>
          <t>HR</t>
        </is>
      </c>
      <c r="B17" s="32" t="inlineStr">
        <is>
          <t>GOSI (Social Insurance)</t>
        </is>
      </c>
      <c r="C17" s="10" t="inlineStr">
        <is>
          <t>SAR</t>
        </is>
      </c>
      <c r="D17" s="10">
        <f>IFERROR(INDEX(Payment_Data.$L$6:$L$100,MATCH("HR-002",Payment_Data.$B$6:$B$100,0)),"")</f>
        <v/>
      </c>
      <c r="E17" s="70">
        <f>IFERROR(SUMPRODUCT((Payment_Data.$B$6:$B$100="VND-008")*(Payment_Data.$J$6:$J$100=E$6)*(Payment_Data.$I$6:$I$100)),0)</f>
        <v/>
      </c>
      <c r="F17" s="70">
        <f>IFERROR(SUMPRODUCT((Payment_Data.$B$6:$B$100="VND-008")*(Payment_Data.$J$6:$J$100=F$6)*(Payment_Data.$I$6:$I$100)),0)</f>
        <v/>
      </c>
      <c r="G17" s="70">
        <f>IFERROR(SUMPRODUCT((Payment_Data.$B$6:$B$100="VND-008")*(Payment_Data.$J$6:$J$100=G$6)*(Payment_Data.$I$6:$I$100)),0)</f>
        <v/>
      </c>
      <c r="H17" s="70">
        <f>IFERROR(SUMPRODUCT((Payment_Data.$B$6:$B$100="VND-008")*(Payment_Data.$J$6:$J$100=H$6)*(Payment_Data.$I$6:$I$100)),0)</f>
        <v/>
      </c>
      <c r="I17" s="70">
        <f>IFERROR(SUMPRODUCT((Payment_Data.$B$6:$B$100="VND-008")*(Payment_Data.$J$6:$J$100=I$6)*(Payment_Data.$I$6:$I$100)),0)</f>
        <v/>
      </c>
      <c r="J17" s="71">
        <f>IFERROR(SUMPRODUCT((Payment_Data.$B$6:$B$100="VND-008")*(Payment_Data.$J$6:$J$100=J$6)*(Payment_Data.$I$6:$I$100)),0)</f>
        <v/>
      </c>
      <c r="K17" s="72">
        <f>IFERROR(SUMPRODUCT((Payment_Data.$B$6:$B$100="VND-008")*(Payment_Data.$J$6:$J$100=K$6)*(Payment_Data.$I$6:$I$100)),0)</f>
        <v/>
      </c>
      <c r="L17" s="70">
        <f>IFERROR(SUMPRODUCT((Payment_Data.$B$6:$B$100="VND-008")*(Payment_Data.$J$6:$J$100=L$6)*(Payment_Data.$I$6:$I$100)),0)</f>
        <v/>
      </c>
      <c r="M17" s="70">
        <f>IFERROR(SUMPRODUCT((Payment_Data.$B$6:$B$100="VND-008")*(Payment_Data.$J$6:$J$100=M$6)*(Payment_Data.$I$6:$I$100)),0)</f>
        <v/>
      </c>
      <c r="N17" s="70">
        <f>IFERROR(SUMPRODUCT((Payment_Data.$B$6:$B$100="VND-008")*(Payment_Data.$J$6:$J$100=N$6)*(Payment_Data.$I$6:$I$100)),0)</f>
        <v/>
      </c>
      <c r="O17" s="70">
        <f>IFERROR(SUMPRODUCT((Payment_Data.$B$6:$B$100="VND-008")*(Payment_Data.$J$6:$J$100=O$6)*(Payment_Data.$I$6:$I$100)),0)</f>
        <v/>
      </c>
      <c r="P17" s="70">
        <f>IFERROR(SUMPRODUCT((Payment_Data.$B$6:$B$100="VND-008")*(Payment_Data.$J$6:$J$100=P$6)*(Payment_Data.$I$6:$I$100)),0)</f>
        <v/>
      </c>
      <c r="Q17" s="71">
        <f>IFERROR(SUMPRODUCT((Payment_Data.$B$6:$B$100="VND-008")*(Payment_Data.$J$6:$J$100=Q$6)*(Payment_Data.$I$6:$I$100)),0)</f>
        <v/>
      </c>
      <c r="R17" s="72">
        <f>IFERROR(SUMPRODUCT((Payment_Data.$B$6:$B$100="VND-008")*(Payment_Data.$J$6:$J$100=R$6)*(Payment_Data.$I$6:$I$100)),0)</f>
        <v/>
      </c>
      <c r="S17" s="70">
        <f>IFERROR(SUMPRODUCT((Payment_Data.$B$6:$B$100="VND-008")*(Payment_Data.$J$6:$J$100=S$6)*(Payment_Data.$I$6:$I$100)),0)</f>
        <v/>
      </c>
      <c r="T17" s="70">
        <f>IFERROR(SUMPRODUCT((Payment_Data.$B$6:$B$100="VND-008")*(Payment_Data.$J$6:$J$100=T$6)*(Payment_Data.$I$6:$I$100)),0)</f>
        <v/>
      </c>
      <c r="U17" s="70">
        <f>IFERROR(SUMPRODUCT((Payment_Data.$B$6:$B$100="VND-008")*(Payment_Data.$J$6:$J$100=U$6)*(Payment_Data.$I$6:$I$100)),0)</f>
        <v/>
      </c>
      <c r="V17" s="70">
        <f>IFERROR(SUMPRODUCT((Payment_Data.$B$6:$B$100="VND-008")*(Payment_Data.$J$6:$J$100=V$6)*(Payment_Data.$I$6:$I$100)),0)</f>
        <v/>
      </c>
      <c r="W17" s="70">
        <f>IFERROR(SUMPRODUCT((Payment_Data.$B$6:$B$100="VND-008")*(Payment_Data.$J$6:$J$100=W$6)*(Payment_Data.$I$6:$I$100)),0)</f>
        <v/>
      </c>
      <c r="X17" s="71">
        <f>IFERROR(SUMPRODUCT((Payment_Data.$B$6:$B$100="VND-008")*(Payment_Data.$J$6:$J$100=X$6)*(Payment_Data.$I$6:$I$100)),0)</f>
        <v/>
      </c>
      <c r="Y17" s="72">
        <f>IFERROR(SUMPRODUCT((Payment_Data.$B$6:$B$100="VND-008")*(Payment_Data.$J$6:$J$100=Y$6)*(Payment_Data.$I$6:$I$100)),0)</f>
        <v/>
      </c>
      <c r="Z17" s="70">
        <f>IFERROR(SUMPRODUCT((Payment_Data.$B$6:$B$100="VND-008")*(Payment_Data.$J$6:$J$100=Z$6)*(Payment_Data.$I$6:$I$100)),0)</f>
        <v/>
      </c>
      <c r="AA17" s="70">
        <f>IFERROR(SUMPRODUCT((Payment_Data.$B$6:$B$100="VND-008")*(Payment_Data.$J$6:$J$100=AA$6)*(Payment_Data.$I$6:$I$100)),0)</f>
        <v/>
      </c>
      <c r="AB17" s="70">
        <f>IFERROR(SUMPRODUCT((Payment_Data.$B$6:$B$100="VND-008")*(Payment_Data.$J$6:$J$100=AB$6)*(Payment_Data.$I$6:$I$100)),0)</f>
        <v/>
      </c>
      <c r="AC17" s="70">
        <f>IFERROR(SUMPRODUCT((Payment_Data.$B$6:$B$100="VND-008")*(Payment_Data.$J$6:$J$100=AC$6)*(Payment_Data.$I$6:$I$100)),0)</f>
        <v/>
      </c>
      <c r="AD17" s="70">
        <f>IFERROR(SUMPRODUCT((Payment_Data.$B$6:$B$100="VND-008")*(Payment_Data.$J$6:$J$100=AD$6)*(Payment_Data.$I$6:$I$100)),0)</f>
        <v/>
      </c>
      <c r="AE17" s="71">
        <f>IFERROR(SUMPRODUCT((Payment_Data.$B$6:$B$100="VND-008")*(Payment_Data.$J$6:$J$100=AE$6)*(Payment_Data.$I$6:$I$100)),0)</f>
        <v/>
      </c>
      <c r="AF17" s="72">
        <f>IFERROR(SUMPRODUCT((Payment_Data.$B$6:$B$100="VND-008")*(Payment_Data.$J$6:$J$100=AF$6)*(Payment_Data.$I$6:$I$100)),0)</f>
        <v/>
      </c>
      <c r="AG17" s="70">
        <f>IFERROR(SUMPRODUCT((Payment_Data.$B$6:$B$100="VND-008")*(Payment_Data.$J$6:$J$100=AG$6)*(Payment_Data.$I$6:$I$100)),0)</f>
        <v/>
      </c>
      <c r="AH17" s="70">
        <f>IFERROR(SUMPRODUCT((Payment_Data.$B$6:$B$100="VND-008")*(Payment_Data.$J$6:$J$100=AH$6)*(Payment_Data.$I$6:$I$100)),0)</f>
        <v/>
      </c>
      <c r="AI17" s="70">
        <f>IFERROR(SUMPRODUCT((Payment_Data.$B$6:$B$100="VND-008")*(Payment_Data.$J$6:$J$100=AI$6)*(Payment_Data.$I$6:$I$100)),0)</f>
        <v/>
      </c>
      <c r="AJ17" s="70">
        <f>IFERROR(SUMPRODUCT((Payment_Data.$B$6:$B$100="VND-008")*(Payment_Data.$J$6:$J$100=AJ$6)*(Payment_Data.$I$6:$I$100)),0)</f>
        <v/>
      </c>
      <c r="AK17" s="70">
        <f>IFERROR(SUMPRODUCT((Payment_Data.$B$6:$B$100="VND-008")*(Payment_Data.$J$6:$J$100=AK$6)*(Payment_Data.$I$6:$I$100)),0)</f>
        <v/>
      </c>
      <c r="AL17" s="71">
        <f>IFERROR(SUMPRODUCT((Payment_Data.$B$6:$B$100="VND-008")*(Payment_Data.$J$6:$J$100=AL$6)*(Payment_Data.$I$6:$I$100)),0)</f>
        <v/>
      </c>
      <c r="AM17" s="72">
        <f>IFERROR(SUMPRODUCT((Payment_Data.$B$6:$B$100="VND-008")*(Payment_Data.$J$6:$J$100=AM$6)*(Payment_Data.$I$6:$I$100)),0)</f>
        <v/>
      </c>
      <c r="AN17" s="70">
        <f>IFERROR(SUMPRODUCT((Payment_Data.$B$6:$B$100="VND-008")*(Payment_Data.$J$6:$J$100=AN$6)*(Payment_Data.$I$6:$I$100)),0)</f>
        <v/>
      </c>
      <c r="AO17" s="70">
        <f>IFERROR(SUMPRODUCT((Payment_Data.$B$6:$B$100="VND-008")*(Payment_Data.$J$6:$J$100=AO$6)*(Payment_Data.$I$6:$I$100)),0)</f>
        <v/>
      </c>
      <c r="AP17" s="70">
        <f>IFERROR(SUMPRODUCT((Payment_Data.$B$6:$B$100="VND-008")*(Payment_Data.$J$6:$J$100=AP$6)*(Payment_Data.$I$6:$I$100)),0)</f>
        <v/>
      </c>
      <c r="AQ17" s="70">
        <f>IFERROR(SUMPRODUCT((Payment_Data.$B$6:$B$100="VND-008")*(Payment_Data.$J$6:$J$100=AQ$6)*(Payment_Data.$I$6:$I$100)),0)</f>
        <v/>
      </c>
      <c r="AR17" s="70">
        <f>IFERROR(SUMPRODUCT((Payment_Data.$B$6:$B$100="VND-008")*(Payment_Data.$J$6:$J$100=AR$6)*(Payment_Data.$I$6:$I$100)),0)</f>
        <v/>
      </c>
      <c r="AS17" s="71">
        <f>IFERROR(SUMPRODUCT((Payment_Data.$B$6:$B$100="VND-008")*(Payment_Data.$J$6:$J$100=AS$6)*(Payment_Data.$I$6:$I$100)),0)</f>
        <v/>
      </c>
      <c r="AT17" s="72">
        <f>IFERROR(SUMPRODUCT((Payment_Data.$B$6:$B$100="VND-008")*(Payment_Data.$J$6:$J$100=AT$6)*(Payment_Data.$I$6:$I$100)),0)</f>
        <v/>
      </c>
      <c r="AU17" s="70">
        <f>IFERROR(SUMPRODUCT((Payment_Data.$B$6:$B$100="VND-008")*(Payment_Data.$J$6:$J$100=AU$6)*(Payment_Data.$I$6:$I$100)),0)</f>
        <v/>
      </c>
      <c r="AV17" s="70">
        <f>IFERROR(SUMPRODUCT((Payment_Data.$B$6:$B$100="VND-008")*(Payment_Data.$J$6:$J$100=AV$6)*(Payment_Data.$I$6:$I$100)),0)</f>
        <v/>
      </c>
      <c r="AW17" s="70">
        <f>IFERROR(SUMPRODUCT((Payment_Data.$B$6:$B$100="VND-008")*(Payment_Data.$J$6:$J$100=AW$6)*(Payment_Data.$I$6:$I$100)),0)</f>
        <v/>
      </c>
      <c r="AX17" s="70">
        <f>IFERROR(SUMPRODUCT((Payment_Data.$B$6:$B$100="VND-008")*(Payment_Data.$J$6:$J$100=AX$6)*(Payment_Data.$I$6:$I$100)),0)</f>
        <v/>
      </c>
      <c r="AY17" s="70">
        <f>IFERROR(SUMPRODUCT((Payment_Data.$B$6:$B$100="VND-008")*(Payment_Data.$J$6:$J$100=AY$6)*(Payment_Data.$I$6:$I$100)),0)</f>
        <v/>
      </c>
      <c r="AZ17" s="71">
        <f>IFERROR(SUMPRODUCT((Payment_Data.$B$6:$B$100="VND-008")*(Payment_Data.$J$6:$J$100=AZ$6)*(Payment_Data.$I$6:$I$100)),0)</f>
        <v/>
      </c>
      <c r="BA17" s="72">
        <f>IFERROR(SUMPRODUCT((Payment_Data.$B$6:$B$100="VND-008")*(Payment_Data.$J$6:$J$100=BA$6)*(Payment_Data.$I$6:$I$100)),0)</f>
        <v/>
      </c>
      <c r="BB17" s="70">
        <f>IFERROR(SUMPRODUCT((Payment_Data.$B$6:$B$100="VND-008")*(Payment_Data.$J$6:$J$100=BB$6)*(Payment_Data.$I$6:$I$100)),0)</f>
        <v/>
      </c>
      <c r="BC17" s="70">
        <f>IFERROR(SUMPRODUCT((Payment_Data.$B$6:$B$100="VND-008")*(Payment_Data.$J$6:$J$100=BC$6)*(Payment_Data.$I$6:$I$100)),0)</f>
        <v/>
      </c>
      <c r="BD17" s="70">
        <f>IFERROR(SUMPRODUCT((Payment_Data.$B$6:$B$100="VND-008")*(Payment_Data.$J$6:$J$100=BD$6)*(Payment_Data.$I$6:$I$100)),0)</f>
        <v/>
      </c>
      <c r="BE17" s="70">
        <f>IFERROR(SUMPRODUCT((Payment_Data.$B$6:$B$100="VND-008")*(Payment_Data.$J$6:$J$100=BE$6)*(Payment_Data.$I$6:$I$100)),0)</f>
        <v/>
      </c>
      <c r="BF17" s="70">
        <f>IFERROR(SUMPRODUCT((Payment_Data.$B$6:$B$100="VND-008")*(Payment_Data.$J$6:$J$100=BF$6)*(Payment_Data.$I$6:$I$100)),0)</f>
        <v/>
      </c>
      <c r="BG17" s="71">
        <f>IFERROR(SUMPRODUCT((Payment_Data.$B$6:$B$100="VND-008")*(Payment_Data.$J$6:$J$100=BG$6)*(Payment_Data.$I$6:$I$100)),0)</f>
        <v/>
      </c>
      <c r="BH17" s="72">
        <f>IFERROR(SUMPRODUCT((Payment_Data.$B$6:$B$100="VND-008")*(Payment_Data.$J$6:$J$100=BH$6)*(Payment_Data.$I$6:$I$100)),0)</f>
        <v/>
      </c>
      <c r="BI17" s="70">
        <f>IFERROR(SUMPRODUCT((Payment_Data.$B$6:$B$100="VND-008")*(Payment_Data.$J$6:$J$100=BI$6)*(Payment_Data.$I$6:$I$100)),0)</f>
        <v/>
      </c>
      <c r="BJ17" s="70">
        <f>IFERROR(SUMPRODUCT((Payment_Data.$B$6:$B$100="VND-008")*(Payment_Data.$J$6:$J$100=BJ$6)*(Payment_Data.$I$6:$I$100)),0)</f>
        <v/>
      </c>
      <c r="BK17" s="70">
        <f>IFERROR(SUMPRODUCT((Payment_Data.$B$6:$B$100="VND-008")*(Payment_Data.$J$6:$J$100=BK$6)*(Payment_Data.$I$6:$I$100)),0)</f>
        <v/>
      </c>
      <c r="BL17" s="70">
        <f>IFERROR(SUMPRODUCT((Payment_Data.$B$6:$B$100="VND-008")*(Payment_Data.$J$6:$J$100=BL$6)*(Payment_Data.$I$6:$I$100)),0)</f>
        <v/>
      </c>
    </row>
    <row r="18">
      <c r="A18" s="80" t="inlineStr">
        <is>
          <t>HR</t>
        </is>
      </c>
      <c r="B18" s="32" t="inlineStr">
        <is>
          <t>Medical Insurance Provider</t>
        </is>
      </c>
      <c r="C18" s="10" t="inlineStr">
        <is>
          <t>SAR</t>
        </is>
      </c>
      <c r="D18" s="10">
        <f>IFERROR(INDEX(Payment_Data.$L$6:$L$100,MATCH("HR-003",Payment_Data.$B$6:$B$100,0)),"")</f>
        <v/>
      </c>
      <c r="E18" s="70">
        <f>IFERROR(SUMPRODUCT((Payment_Data.$B$6:$B$100="HR-003")*(Payment_Data.$J$6:$J$100=E$6)*(Payment_Data.$I$6:$I$100)),0)</f>
        <v/>
      </c>
      <c r="F18" s="70">
        <f>IFERROR(SUMPRODUCT((Payment_Data.$B$6:$B$100="HR-003")*(Payment_Data.$J$6:$J$100=F$6)*(Payment_Data.$I$6:$I$100)),0)</f>
        <v/>
      </c>
      <c r="G18" s="70">
        <f>IFERROR(SUMPRODUCT((Payment_Data.$B$6:$B$100="HR-003")*(Payment_Data.$J$6:$J$100=G$6)*(Payment_Data.$I$6:$I$100)),0)</f>
        <v/>
      </c>
      <c r="H18" s="70">
        <f>IFERROR(SUMPRODUCT((Payment_Data.$B$6:$B$100="HR-003")*(Payment_Data.$J$6:$J$100=H$6)*(Payment_Data.$I$6:$I$100)),0)</f>
        <v/>
      </c>
      <c r="I18" s="70">
        <f>IFERROR(SUMPRODUCT((Payment_Data.$B$6:$B$100="HR-003")*(Payment_Data.$J$6:$J$100=I$6)*(Payment_Data.$I$6:$I$100)),0)</f>
        <v/>
      </c>
      <c r="J18" s="71">
        <f>IFERROR(SUMPRODUCT((Payment_Data.$B$6:$B$100="HR-003")*(Payment_Data.$J$6:$J$100=J$6)*(Payment_Data.$I$6:$I$100)),0)</f>
        <v/>
      </c>
      <c r="K18" s="72">
        <f>IFERROR(SUMPRODUCT((Payment_Data.$B$6:$B$100="HR-003")*(Payment_Data.$J$6:$J$100=K$6)*(Payment_Data.$I$6:$I$100)),0)</f>
        <v/>
      </c>
      <c r="L18" s="70">
        <f>IFERROR(SUMPRODUCT((Payment_Data.$B$6:$B$100="HR-003")*(Payment_Data.$J$6:$J$100=L$6)*(Payment_Data.$I$6:$I$100)),0)</f>
        <v/>
      </c>
      <c r="M18" s="70">
        <f>IFERROR(SUMPRODUCT((Payment_Data.$B$6:$B$100="HR-003")*(Payment_Data.$J$6:$J$100=M$6)*(Payment_Data.$I$6:$I$100)),0)</f>
        <v/>
      </c>
      <c r="N18" s="70">
        <f>IFERROR(SUMPRODUCT((Payment_Data.$B$6:$B$100="HR-003")*(Payment_Data.$J$6:$J$100=N$6)*(Payment_Data.$I$6:$I$100)),0)</f>
        <v/>
      </c>
      <c r="O18" s="70">
        <f>IFERROR(SUMPRODUCT((Payment_Data.$B$6:$B$100="HR-003")*(Payment_Data.$J$6:$J$100=O$6)*(Payment_Data.$I$6:$I$100)),0)</f>
        <v/>
      </c>
      <c r="P18" s="70">
        <f>IFERROR(SUMPRODUCT((Payment_Data.$B$6:$B$100="HR-003")*(Payment_Data.$J$6:$J$100=P$6)*(Payment_Data.$I$6:$I$100)),0)</f>
        <v/>
      </c>
      <c r="Q18" s="71">
        <f>IFERROR(SUMPRODUCT((Payment_Data.$B$6:$B$100="HR-003")*(Payment_Data.$J$6:$J$100=Q$6)*(Payment_Data.$I$6:$I$100)),0)</f>
        <v/>
      </c>
      <c r="R18" s="72">
        <f>IFERROR(SUMPRODUCT((Payment_Data.$B$6:$B$100="HR-003")*(Payment_Data.$J$6:$J$100=R$6)*(Payment_Data.$I$6:$I$100)),0)</f>
        <v/>
      </c>
      <c r="S18" s="70">
        <f>IFERROR(SUMPRODUCT((Payment_Data.$B$6:$B$100="HR-003")*(Payment_Data.$J$6:$J$100=S$6)*(Payment_Data.$I$6:$I$100)),0)</f>
        <v/>
      </c>
      <c r="T18" s="70">
        <f>IFERROR(SUMPRODUCT((Payment_Data.$B$6:$B$100="HR-003")*(Payment_Data.$J$6:$J$100=T$6)*(Payment_Data.$I$6:$I$100)),0)</f>
        <v/>
      </c>
      <c r="U18" s="70">
        <f>IFERROR(SUMPRODUCT((Payment_Data.$B$6:$B$100="HR-003")*(Payment_Data.$J$6:$J$100=U$6)*(Payment_Data.$I$6:$I$100)),0)</f>
        <v/>
      </c>
      <c r="V18" s="70">
        <f>IFERROR(SUMPRODUCT((Payment_Data.$B$6:$B$100="HR-003")*(Payment_Data.$J$6:$J$100=V$6)*(Payment_Data.$I$6:$I$100)),0)</f>
        <v/>
      </c>
      <c r="W18" s="70">
        <f>IFERROR(SUMPRODUCT((Payment_Data.$B$6:$B$100="HR-003")*(Payment_Data.$J$6:$J$100=W$6)*(Payment_Data.$I$6:$I$100)),0)</f>
        <v/>
      </c>
      <c r="X18" s="71">
        <f>IFERROR(SUMPRODUCT((Payment_Data.$B$6:$B$100="HR-003")*(Payment_Data.$J$6:$J$100=X$6)*(Payment_Data.$I$6:$I$100)),0)</f>
        <v/>
      </c>
      <c r="Y18" s="72">
        <f>IFERROR(SUMPRODUCT((Payment_Data.$B$6:$B$100="HR-003")*(Payment_Data.$J$6:$J$100=Y$6)*(Payment_Data.$I$6:$I$100)),0)</f>
        <v/>
      </c>
      <c r="Z18" s="70">
        <f>IFERROR(SUMPRODUCT((Payment_Data.$B$6:$B$100="HR-003")*(Payment_Data.$J$6:$J$100=Z$6)*(Payment_Data.$I$6:$I$100)),0)</f>
        <v/>
      </c>
      <c r="AA18" s="70">
        <f>IFERROR(SUMPRODUCT((Payment_Data.$B$6:$B$100="HR-003")*(Payment_Data.$J$6:$J$100=AA$6)*(Payment_Data.$I$6:$I$100)),0)</f>
        <v/>
      </c>
      <c r="AB18" s="70">
        <f>IFERROR(SUMPRODUCT((Payment_Data.$B$6:$B$100="HR-003")*(Payment_Data.$J$6:$J$100=AB$6)*(Payment_Data.$I$6:$I$100)),0)</f>
        <v/>
      </c>
      <c r="AC18" s="70">
        <f>IFERROR(SUMPRODUCT((Payment_Data.$B$6:$B$100="HR-003")*(Payment_Data.$J$6:$J$100=AC$6)*(Payment_Data.$I$6:$I$100)),0)</f>
        <v/>
      </c>
      <c r="AD18" s="70">
        <f>IFERROR(SUMPRODUCT((Payment_Data.$B$6:$B$100="HR-003")*(Payment_Data.$J$6:$J$100=AD$6)*(Payment_Data.$I$6:$I$100)),0)</f>
        <v/>
      </c>
      <c r="AE18" s="71">
        <f>IFERROR(SUMPRODUCT((Payment_Data.$B$6:$B$100="HR-003")*(Payment_Data.$J$6:$J$100=AE$6)*(Payment_Data.$I$6:$I$100)),0)</f>
        <v/>
      </c>
      <c r="AF18" s="72">
        <f>IFERROR(SUMPRODUCT((Payment_Data.$B$6:$B$100="HR-003")*(Payment_Data.$J$6:$J$100=AF$6)*(Payment_Data.$I$6:$I$100)),0)</f>
        <v/>
      </c>
      <c r="AG18" s="70">
        <f>IFERROR(SUMPRODUCT((Payment_Data.$B$6:$B$100="HR-003")*(Payment_Data.$J$6:$J$100=AG$6)*(Payment_Data.$I$6:$I$100)),0)</f>
        <v/>
      </c>
      <c r="AH18" s="70">
        <f>IFERROR(SUMPRODUCT((Payment_Data.$B$6:$B$100="HR-003")*(Payment_Data.$J$6:$J$100=AH$6)*(Payment_Data.$I$6:$I$100)),0)</f>
        <v/>
      </c>
      <c r="AI18" s="70">
        <f>IFERROR(SUMPRODUCT((Payment_Data.$B$6:$B$100="HR-003")*(Payment_Data.$J$6:$J$100=AI$6)*(Payment_Data.$I$6:$I$100)),0)</f>
        <v/>
      </c>
      <c r="AJ18" s="70">
        <f>IFERROR(SUMPRODUCT((Payment_Data.$B$6:$B$100="HR-003")*(Payment_Data.$J$6:$J$100=AJ$6)*(Payment_Data.$I$6:$I$100)),0)</f>
        <v/>
      </c>
      <c r="AK18" s="70">
        <f>IFERROR(SUMPRODUCT((Payment_Data.$B$6:$B$100="HR-003")*(Payment_Data.$J$6:$J$100=AK$6)*(Payment_Data.$I$6:$I$100)),0)</f>
        <v/>
      </c>
      <c r="AL18" s="71">
        <f>IFERROR(SUMPRODUCT((Payment_Data.$B$6:$B$100="HR-003")*(Payment_Data.$J$6:$J$100=AL$6)*(Payment_Data.$I$6:$I$100)),0)</f>
        <v/>
      </c>
      <c r="AM18" s="72">
        <f>IFERROR(SUMPRODUCT((Payment_Data.$B$6:$B$100="HR-003")*(Payment_Data.$J$6:$J$100=AM$6)*(Payment_Data.$I$6:$I$100)),0)</f>
        <v/>
      </c>
      <c r="AN18" s="70">
        <f>IFERROR(SUMPRODUCT((Payment_Data.$B$6:$B$100="HR-003")*(Payment_Data.$J$6:$J$100=AN$6)*(Payment_Data.$I$6:$I$100)),0)</f>
        <v/>
      </c>
      <c r="AO18" s="70">
        <f>IFERROR(SUMPRODUCT((Payment_Data.$B$6:$B$100="HR-003")*(Payment_Data.$J$6:$J$100=AO$6)*(Payment_Data.$I$6:$I$100)),0)</f>
        <v/>
      </c>
      <c r="AP18" s="70">
        <f>IFERROR(SUMPRODUCT((Payment_Data.$B$6:$B$100="HR-003")*(Payment_Data.$J$6:$J$100=AP$6)*(Payment_Data.$I$6:$I$100)),0)</f>
        <v/>
      </c>
      <c r="AQ18" s="70">
        <f>IFERROR(SUMPRODUCT((Payment_Data.$B$6:$B$100="HR-003")*(Payment_Data.$J$6:$J$100=AQ$6)*(Payment_Data.$I$6:$I$100)),0)</f>
        <v/>
      </c>
      <c r="AR18" s="70">
        <f>IFERROR(SUMPRODUCT((Payment_Data.$B$6:$B$100="HR-003")*(Payment_Data.$J$6:$J$100=AR$6)*(Payment_Data.$I$6:$I$100)),0)</f>
        <v/>
      </c>
      <c r="AS18" s="71">
        <f>IFERROR(SUMPRODUCT((Payment_Data.$B$6:$B$100="HR-003")*(Payment_Data.$J$6:$J$100=AS$6)*(Payment_Data.$I$6:$I$100)),0)</f>
        <v/>
      </c>
      <c r="AT18" s="72">
        <f>IFERROR(SUMPRODUCT((Payment_Data.$B$6:$B$100="HR-003")*(Payment_Data.$J$6:$J$100=AT$6)*(Payment_Data.$I$6:$I$100)),0)</f>
        <v/>
      </c>
      <c r="AU18" s="70">
        <f>IFERROR(SUMPRODUCT((Payment_Data.$B$6:$B$100="HR-003")*(Payment_Data.$J$6:$J$100=AU$6)*(Payment_Data.$I$6:$I$100)),0)</f>
        <v/>
      </c>
      <c r="AV18" s="70">
        <f>IFERROR(SUMPRODUCT((Payment_Data.$B$6:$B$100="HR-003")*(Payment_Data.$J$6:$J$100=AV$6)*(Payment_Data.$I$6:$I$100)),0)</f>
        <v/>
      </c>
      <c r="AW18" s="70">
        <f>IFERROR(SUMPRODUCT((Payment_Data.$B$6:$B$100="HR-003")*(Payment_Data.$J$6:$J$100=AW$6)*(Payment_Data.$I$6:$I$100)),0)</f>
        <v/>
      </c>
      <c r="AX18" s="70">
        <f>IFERROR(SUMPRODUCT((Payment_Data.$B$6:$B$100="HR-003")*(Payment_Data.$J$6:$J$100=AX$6)*(Payment_Data.$I$6:$I$100)),0)</f>
        <v/>
      </c>
      <c r="AY18" s="70">
        <f>IFERROR(SUMPRODUCT((Payment_Data.$B$6:$B$100="HR-003")*(Payment_Data.$J$6:$J$100=AY$6)*(Payment_Data.$I$6:$I$100)),0)</f>
        <v/>
      </c>
      <c r="AZ18" s="71">
        <f>IFERROR(SUMPRODUCT((Payment_Data.$B$6:$B$100="HR-003")*(Payment_Data.$J$6:$J$100=AZ$6)*(Payment_Data.$I$6:$I$100)),0)</f>
        <v/>
      </c>
      <c r="BA18" s="72">
        <f>IFERROR(SUMPRODUCT((Payment_Data.$B$6:$B$100="HR-003")*(Payment_Data.$J$6:$J$100=BA$6)*(Payment_Data.$I$6:$I$100)),0)</f>
        <v/>
      </c>
      <c r="BB18" s="70">
        <f>IFERROR(SUMPRODUCT((Payment_Data.$B$6:$B$100="HR-003")*(Payment_Data.$J$6:$J$100=BB$6)*(Payment_Data.$I$6:$I$100)),0)</f>
        <v/>
      </c>
      <c r="BC18" s="70">
        <f>IFERROR(SUMPRODUCT((Payment_Data.$B$6:$B$100="HR-003")*(Payment_Data.$J$6:$J$100=BC$6)*(Payment_Data.$I$6:$I$100)),0)</f>
        <v/>
      </c>
      <c r="BD18" s="70">
        <f>IFERROR(SUMPRODUCT((Payment_Data.$B$6:$B$100="HR-003")*(Payment_Data.$J$6:$J$100=BD$6)*(Payment_Data.$I$6:$I$100)),0)</f>
        <v/>
      </c>
      <c r="BE18" s="70">
        <f>IFERROR(SUMPRODUCT((Payment_Data.$B$6:$B$100="HR-003")*(Payment_Data.$J$6:$J$100=BE$6)*(Payment_Data.$I$6:$I$100)),0)</f>
        <v/>
      </c>
      <c r="BF18" s="70">
        <f>IFERROR(SUMPRODUCT((Payment_Data.$B$6:$B$100="HR-003")*(Payment_Data.$J$6:$J$100=BF$6)*(Payment_Data.$I$6:$I$100)),0)</f>
        <v/>
      </c>
      <c r="BG18" s="71">
        <f>IFERROR(SUMPRODUCT((Payment_Data.$B$6:$B$100="HR-003")*(Payment_Data.$J$6:$J$100=BG$6)*(Payment_Data.$I$6:$I$100)),0)</f>
        <v/>
      </c>
      <c r="BH18" s="72">
        <f>IFERROR(SUMPRODUCT((Payment_Data.$B$6:$B$100="HR-003")*(Payment_Data.$J$6:$J$100=BH$6)*(Payment_Data.$I$6:$I$100)),0)</f>
        <v/>
      </c>
      <c r="BI18" s="70">
        <f>IFERROR(SUMPRODUCT((Payment_Data.$B$6:$B$100="HR-003")*(Payment_Data.$J$6:$J$100=BI$6)*(Payment_Data.$I$6:$I$100)),0)</f>
        <v/>
      </c>
      <c r="BJ18" s="70">
        <f>IFERROR(SUMPRODUCT((Payment_Data.$B$6:$B$100="HR-003")*(Payment_Data.$J$6:$J$100=BJ$6)*(Payment_Data.$I$6:$I$100)),0)</f>
        <v/>
      </c>
      <c r="BK18" s="70">
        <f>IFERROR(SUMPRODUCT((Payment_Data.$B$6:$B$100="HR-003")*(Payment_Data.$J$6:$J$100=BK$6)*(Payment_Data.$I$6:$I$100)),0)</f>
        <v/>
      </c>
      <c r="BL18" s="70">
        <f>IFERROR(SUMPRODUCT((Payment_Data.$B$6:$B$100="HR-003")*(Payment_Data.$J$6:$J$100=BL$6)*(Payment_Data.$I$6:$I$100)),0)</f>
        <v/>
      </c>
    </row>
    <row r="19">
      <c r="A19" s="80" t="inlineStr">
        <is>
          <t>HR</t>
        </is>
      </c>
      <c r="B19" s="32" t="inlineStr">
        <is>
          <t>End of Service Provisions</t>
        </is>
      </c>
      <c r="C19" s="10" t="inlineStr">
        <is>
          <t>SAR</t>
        </is>
      </c>
      <c r="D19" s="10">
        <f>IFERROR(INDEX(Payment_Data.$L$6:$L$100,MATCH("HR-004",Payment_Data.$B$6:$B$100,0)),"")</f>
        <v/>
      </c>
      <c r="E19" s="70">
        <f>IFERROR(SUMPRODUCT((Payment_Data.$B$6:$B$100="HR-004")*(Payment_Data.$J$6:$J$100=E$6)*(Payment_Data.$I$6:$I$100)),0)</f>
        <v/>
      </c>
      <c r="F19" s="70">
        <f>IFERROR(SUMPRODUCT((Payment_Data.$B$6:$B$100="HR-004")*(Payment_Data.$J$6:$J$100=F$6)*(Payment_Data.$I$6:$I$100)),0)</f>
        <v/>
      </c>
      <c r="G19" s="70">
        <f>IFERROR(SUMPRODUCT((Payment_Data.$B$6:$B$100="HR-004")*(Payment_Data.$J$6:$J$100=G$6)*(Payment_Data.$I$6:$I$100)),0)</f>
        <v/>
      </c>
      <c r="H19" s="70">
        <f>IFERROR(SUMPRODUCT((Payment_Data.$B$6:$B$100="HR-004")*(Payment_Data.$J$6:$J$100=H$6)*(Payment_Data.$I$6:$I$100)),0)</f>
        <v/>
      </c>
      <c r="I19" s="70">
        <f>IFERROR(SUMPRODUCT((Payment_Data.$B$6:$B$100="HR-004")*(Payment_Data.$J$6:$J$100=I$6)*(Payment_Data.$I$6:$I$100)),0)</f>
        <v/>
      </c>
      <c r="J19" s="71">
        <f>IFERROR(SUMPRODUCT((Payment_Data.$B$6:$B$100="HR-004")*(Payment_Data.$J$6:$J$100=J$6)*(Payment_Data.$I$6:$I$100)),0)</f>
        <v/>
      </c>
      <c r="K19" s="72">
        <f>IFERROR(SUMPRODUCT((Payment_Data.$B$6:$B$100="HR-004")*(Payment_Data.$J$6:$J$100=K$6)*(Payment_Data.$I$6:$I$100)),0)</f>
        <v/>
      </c>
      <c r="L19" s="70">
        <f>IFERROR(SUMPRODUCT((Payment_Data.$B$6:$B$100="HR-004")*(Payment_Data.$J$6:$J$100=L$6)*(Payment_Data.$I$6:$I$100)),0)</f>
        <v/>
      </c>
      <c r="M19" s="70">
        <f>IFERROR(SUMPRODUCT((Payment_Data.$B$6:$B$100="HR-004")*(Payment_Data.$J$6:$J$100=M$6)*(Payment_Data.$I$6:$I$100)),0)</f>
        <v/>
      </c>
      <c r="N19" s="70">
        <f>IFERROR(SUMPRODUCT((Payment_Data.$B$6:$B$100="HR-004")*(Payment_Data.$J$6:$J$100=N$6)*(Payment_Data.$I$6:$I$100)),0)</f>
        <v/>
      </c>
      <c r="O19" s="70">
        <f>IFERROR(SUMPRODUCT((Payment_Data.$B$6:$B$100="HR-004")*(Payment_Data.$J$6:$J$100=O$6)*(Payment_Data.$I$6:$I$100)),0)</f>
        <v/>
      </c>
      <c r="P19" s="70">
        <f>IFERROR(SUMPRODUCT((Payment_Data.$B$6:$B$100="HR-004")*(Payment_Data.$J$6:$J$100=P$6)*(Payment_Data.$I$6:$I$100)),0)</f>
        <v/>
      </c>
      <c r="Q19" s="71">
        <f>IFERROR(SUMPRODUCT((Payment_Data.$B$6:$B$100="HR-004")*(Payment_Data.$J$6:$J$100=Q$6)*(Payment_Data.$I$6:$I$100)),0)</f>
        <v/>
      </c>
      <c r="R19" s="72">
        <f>IFERROR(SUMPRODUCT((Payment_Data.$B$6:$B$100="HR-004")*(Payment_Data.$J$6:$J$100=R$6)*(Payment_Data.$I$6:$I$100)),0)</f>
        <v/>
      </c>
      <c r="S19" s="70">
        <f>IFERROR(SUMPRODUCT((Payment_Data.$B$6:$B$100="HR-004")*(Payment_Data.$J$6:$J$100=S$6)*(Payment_Data.$I$6:$I$100)),0)</f>
        <v/>
      </c>
      <c r="T19" s="70">
        <f>IFERROR(SUMPRODUCT((Payment_Data.$B$6:$B$100="HR-004")*(Payment_Data.$J$6:$J$100=T$6)*(Payment_Data.$I$6:$I$100)),0)</f>
        <v/>
      </c>
      <c r="U19" s="70">
        <f>IFERROR(SUMPRODUCT((Payment_Data.$B$6:$B$100="HR-004")*(Payment_Data.$J$6:$J$100=U$6)*(Payment_Data.$I$6:$I$100)),0)</f>
        <v/>
      </c>
      <c r="V19" s="70">
        <f>IFERROR(SUMPRODUCT((Payment_Data.$B$6:$B$100="HR-004")*(Payment_Data.$J$6:$J$100=V$6)*(Payment_Data.$I$6:$I$100)),0)</f>
        <v/>
      </c>
      <c r="W19" s="70">
        <f>IFERROR(SUMPRODUCT((Payment_Data.$B$6:$B$100="HR-004")*(Payment_Data.$J$6:$J$100=W$6)*(Payment_Data.$I$6:$I$100)),0)</f>
        <v/>
      </c>
      <c r="X19" s="71">
        <f>IFERROR(SUMPRODUCT((Payment_Data.$B$6:$B$100="HR-004")*(Payment_Data.$J$6:$J$100=X$6)*(Payment_Data.$I$6:$I$100)),0)</f>
        <v/>
      </c>
      <c r="Y19" s="72">
        <f>IFERROR(SUMPRODUCT((Payment_Data.$B$6:$B$100="HR-004")*(Payment_Data.$J$6:$J$100=Y$6)*(Payment_Data.$I$6:$I$100)),0)</f>
        <v/>
      </c>
      <c r="Z19" s="70">
        <f>IFERROR(SUMPRODUCT((Payment_Data.$B$6:$B$100="HR-004")*(Payment_Data.$J$6:$J$100=Z$6)*(Payment_Data.$I$6:$I$100)),0)</f>
        <v/>
      </c>
      <c r="AA19" s="70">
        <f>IFERROR(SUMPRODUCT((Payment_Data.$B$6:$B$100="HR-004")*(Payment_Data.$J$6:$J$100=AA$6)*(Payment_Data.$I$6:$I$100)),0)</f>
        <v/>
      </c>
      <c r="AB19" s="70">
        <f>IFERROR(SUMPRODUCT((Payment_Data.$B$6:$B$100="HR-004")*(Payment_Data.$J$6:$J$100=AB$6)*(Payment_Data.$I$6:$I$100)),0)</f>
        <v/>
      </c>
      <c r="AC19" s="70">
        <f>IFERROR(SUMPRODUCT((Payment_Data.$B$6:$B$100="HR-004")*(Payment_Data.$J$6:$J$100=AC$6)*(Payment_Data.$I$6:$I$100)),0)</f>
        <v/>
      </c>
      <c r="AD19" s="70">
        <f>IFERROR(SUMPRODUCT((Payment_Data.$B$6:$B$100="HR-004")*(Payment_Data.$J$6:$J$100=AD$6)*(Payment_Data.$I$6:$I$100)),0)</f>
        <v/>
      </c>
      <c r="AE19" s="71">
        <f>IFERROR(SUMPRODUCT((Payment_Data.$B$6:$B$100="HR-004")*(Payment_Data.$J$6:$J$100=AE$6)*(Payment_Data.$I$6:$I$100)),0)</f>
        <v/>
      </c>
      <c r="AF19" s="72">
        <f>IFERROR(SUMPRODUCT((Payment_Data.$B$6:$B$100="HR-004")*(Payment_Data.$J$6:$J$100=AF$6)*(Payment_Data.$I$6:$I$100)),0)</f>
        <v/>
      </c>
      <c r="AG19" s="70">
        <f>IFERROR(SUMPRODUCT((Payment_Data.$B$6:$B$100="HR-004")*(Payment_Data.$J$6:$J$100=AG$6)*(Payment_Data.$I$6:$I$100)),0)</f>
        <v/>
      </c>
      <c r="AH19" s="70">
        <f>IFERROR(SUMPRODUCT((Payment_Data.$B$6:$B$100="HR-004")*(Payment_Data.$J$6:$J$100=AH$6)*(Payment_Data.$I$6:$I$100)),0)</f>
        <v/>
      </c>
      <c r="AI19" s="70">
        <f>IFERROR(SUMPRODUCT((Payment_Data.$B$6:$B$100="HR-004")*(Payment_Data.$J$6:$J$100=AI$6)*(Payment_Data.$I$6:$I$100)),0)</f>
        <v/>
      </c>
      <c r="AJ19" s="70">
        <f>IFERROR(SUMPRODUCT((Payment_Data.$B$6:$B$100="HR-004")*(Payment_Data.$J$6:$J$100=AJ$6)*(Payment_Data.$I$6:$I$100)),0)</f>
        <v/>
      </c>
      <c r="AK19" s="70">
        <f>IFERROR(SUMPRODUCT((Payment_Data.$B$6:$B$100="HR-004")*(Payment_Data.$J$6:$J$100=AK$6)*(Payment_Data.$I$6:$I$100)),0)</f>
        <v/>
      </c>
      <c r="AL19" s="71">
        <f>IFERROR(SUMPRODUCT((Payment_Data.$B$6:$B$100="HR-004")*(Payment_Data.$J$6:$J$100=AL$6)*(Payment_Data.$I$6:$I$100)),0)</f>
        <v/>
      </c>
      <c r="AM19" s="72">
        <f>IFERROR(SUMPRODUCT((Payment_Data.$B$6:$B$100="HR-004")*(Payment_Data.$J$6:$J$100=AM$6)*(Payment_Data.$I$6:$I$100)),0)</f>
        <v/>
      </c>
      <c r="AN19" s="70">
        <f>IFERROR(SUMPRODUCT((Payment_Data.$B$6:$B$100="HR-004")*(Payment_Data.$J$6:$J$100=AN$6)*(Payment_Data.$I$6:$I$100)),0)</f>
        <v/>
      </c>
      <c r="AO19" s="70">
        <f>IFERROR(SUMPRODUCT((Payment_Data.$B$6:$B$100="HR-004")*(Payment_Data.$J$6:$J$100=AO$6)*(Payment_Data.$I$6:$I$100)),0)</f>
        <v/>
      </c>
      <c r="AP19" s="70">
        <f>IFERROR(SUMPRODUCT((Payment_Data.$B$6:$B$100="HR-004")*(Payment_Data.$J$6:$J$100=AP$6)*(Payment_Data.$I$6:$I$100)),0)</f>
        <v/>
      </c>
      <c r="AQ19" s="70">
        <f>IFERROR(SUMPRODUCT((Payment_Data.$B$6:$B$100="HR-004")*(Payment_Data.$J$6:$J$100=AQ$6)*(Payment_Data.$I$6:$I$100)),0)</f>
        <v/>
      </c>
      <c r="AR19" s="70">
        <f>IFERROR(SUMPRODUCT((Payment_Data.$B$6:$B$100="HR-004")*(Payment_Data.$J$6:$J$100=AR$6)*(Payment_Data.$I$6:$I$100)),0)</f>
        <v/>
      </c>
      <c r="AS19" s="71">
        <f>IFERROR(SUMPRODUCT((Payment_Data.$B$6:$B$100="HR-004")*(Payment_Data.$J$6:$J$100=AS$6)*(Payment_Data.$I$6:$I$100)),0)</f>
        <v/>
      </c>
      <c r="AT19" s="72">
        <f>IFERROR(SUMPRODUCT((Payment_Data.$B$6:$B$100="HR-004")*(Payment_Data.$J$6:$J$100=AT$6)*(Payment_Data.$I$6:$I$100)),0)</f>
        <v/>
      </c>
      <c r="AU19" s="70">
        <f>IFERROR(SUMPRODUCT((Payment_Data.$B$6:$B$100="HR-004")*(Payment_Data.$J$6:$J$100=AU$6)*(Payment_Data.$I$6:$I$100)),0)</f>
        <v/>
      </c>
      <c r="AV19" s="70">
        <f>IFERROR(SUMPRODUCT((Payment_Data.$B$6:$B$100="HR-004")*(Payment_Data.$J$6:$J$100=AV$6)*(Payment_Data.$I$6:$I$100)),0)</f>
        <v/>
      </c>
      <c r="AW19" s="70">
        <f>IFERROR(SUMPRODUCT((Payment_Data.$B$6:$B$100="HR-004")*(Payment_Data.$J$6:$J$100=AW$6)*(Payment_Data.$I$6:$I$100)),0)</f>
        <v/>
      </c>
      <c r="AX19" s="70">
        <f>IFERROR(SUMPRODUCT((Payment_Data.$B$6:$B$100="HR-004")*(Payment_Data.$J$6:$J$100=AX$6)*(Payment_Data.$I$6:$I$100)),0)</f>
        <v/>
      </c>
      <c r="AY19" s="70">
        <f>IFERROR(SUMPRODUCT((Payment_Data.$B$6:$B$100="HR-004")*(Payment_Data.$J$6:$J$100=AY$6)*(Payment_Data.$I$6:$I$100)),0)</f>
        <v/>
      </c>
      <c r="AZ19" s="71">
        <f>IFERROR(SUMPRODUCT((Payment_Data.$B$6:$B$100="HR-004")*(Payment_Data.$J$6:$J$100=AZ$6)*(Payment_Data.$I$6:$I$100)),0)</f>
        <v/>
      </c>
      <c r="BA19" s="72">
        <f>IFERROR(SUMPRODUCT((Payment_Data.$B$6:$B$100="HR-004")*(Payment_Data.$J$6:$J$100=BA$6)*(Payment_Data.$I$6:$I$100)),0)</f>
        <v/>
      </c>
      <c r="BB19" s="70">
        <f>IFERROR(SUMPRODUCT((Payment_Data.$B$6:$B$100="HR-004")*(Payment_Data.$J$6:$J$100=BB$6)*(Payment_Data.$I$6:$I$100)),0)</f>
        <v/>
      </c>
      <c r="BC19" s="70">
        <f>IFERROR(SUMPRODUCT((Payment_Data.$B$6:$B$100="HR-004")*(Payment_Data.$J$6:$J$100=BC$6)*(Payment_Data.$I$6:$I$100)),0)</f>
        <v/>
      </c>
      <c r="BD19" s="70">
        <f>IFERROR(SUMPRODUCT((Payment_Data.$B$6:$B$100="HR-004")*(Payment_Data.$J$6:$J$100=BD$6)*(Payment_Data.$I$6:$I$100)),0)</f>
        <v/>
      </c>
      <c r="BE19" s="70">
        <f>IFERROR(SUMPRODUCT((Payment_Data.$B$6:$B$100="HR-004")*(Payment_Data.$J$6:$J$100=BE$6)*(Payment_Data.$I$6:$I$100)),0)</f>
        <v/>
      </c>
      <c r="BF19" s="70">
        <f>IFERROR(SUMPRODUCT((Payment_Data.$B$6:$B$100="HR-004")*(Payment_Data.$J$6:$J$100=BF$6)*(Payment_Data.$I$6:$I$100)),0)</f>
        <v/>
      </c>
      <c r="BG19" s="71">
        <f>IFERROR(SUMPRODUCT((Payment_Data.$B$6:$B$100="HR-004")*(Payment_Data.$J$6:$J$100=BG$6)*(Payment_Data.$I$6:$I$100)),0)</f>
        <v/>
      </c>
      <c r="BH19" s="72">
        <f>IFERROR(SUMPRODUCT((Payment_Data.$B$6:$B$100="HR-004")*(Payment_Data.$J$6:$J$100=BH$6)*(Payment_Data.$I$6:$I$100)),0)</f>
        <v/>
      </c>
      <c r="BI19" s="70">
        <f>IFERROR(SUMPRODUCT((Payment_Data.$B$6:$B$100="HR-004")*(Payment_Data.$J$6:$J$100=BI$6)*(Payment_Data.$I$6:$I$100)),0)</f>
        <v/>
      </c>
      <c r="BJ19" s="70">
        <f>IFERROR(SUMPRODUCT((Payment_Data.$B$6:$B$100="HR-004")*(Payment_Data.$J$6:$J$100=BJ$6)*(Payment_Data.$I$6:$I$100)),0)</f>
        <v/>
      </c>
      <c r="BK19" s="70">
        <f>IFERROR(SUMPRODUCT((Payment_Data.$B$6:$B$100="HR-004")*(Payment_Data.$J$6:$J$100=BK$6)*(Payment_Data.$I$6:$I$100)),0)</f>
        <v/>
      </c>
      <c r="BL19" s="70">
        <f>IFERROR(SUMPRODUCT((Payment_Data.$B$6:$B$100="HR-004")*(Payment_Data.$J$6:$J$100=BL$6)*(Payment_Data.$I$6:$I$100)),0)</f>
        <v/>
      </c>
    </row>
    <row r="20">
      <c r="A20" s="80" t="inlineStr">
        <is>
          <t>HR</t>
        </is>
      </c>
      <c r="B20" s="32" t="inlineStr">
        <is>
          <t>Staff Bonuses</t>
        </is>
      </c>
      <c r="C20" s="10" t="inlineStr">
        <is>
          <t>SAR</t>
        </is>
      </c>
      <c r="D20" s="10">
        <f>IFERROR(INDEX(Payment_Data.$L$6:$L$100,MATCH("HR-005",Payment_Data.$B$6:$B$100,0)),"")</f>
        <v/>
      </c>
      <c r="E20" s="70">
        <f>IFERROR(SUMPRODUCT((Payment_Data.$B$6:$B$100="HR-005")*(Payment_Data.$J$6:$J$100=E$6)*(Payment_Data.$I$6:$I$100)),0)</f>
        <v/>
      </c>
      <c r="F20" s="70">
        <f>IFERROR(SUMPRODUCT((Payment_Data.$B$6:$B$100="HR-005")*(Payment_Data.$J$6:$J$100=F$6)*(Payment_Data.$I$6:$I$100)),0)</f>
        <v/>
      </c>
      <c r="G20" s="70">
        <f>IFERROR(SUMPRODUCT((Payment_Data.$B$6:$B$100="HR-005")*(Payment_Data.$J$6:$J$100=G$6)*(Payment_Data.$I$6:$I$100)),0)</f>
        <v/>
      </c>
      <c r="H20" s="70">
        <f>IFERROR(SUMPRODUCT((Payment_Data.$B$6:$B$100="HR-005")*(Payment_Data.$J$6:$J$100=H$6)*(Payment_Data.$I$6:$I$100)),0)</f>
        <v/>
      </c>
      <c r="I20" s="70">
        <f>IFERROR(SUMPRODUCT((Payment_Data.$B$6:$B$100="HR-005")*(Payment_Data.$J$6:$J$100=I$6)*(Payment_Data.$I$6:$I$100)),0)</f>
        <v/>
      </c>
      <c r="J20" s="71">
        <f>IFERROR(SUMPRODUCT((Payment_Data.$B$6:$B$100="HR-005")*(Payment_Data.$J$6:$J$100=J$6)*(Payment_Data.$I$6:$I$100)),0)</f>
        <v/>
      </c>
      <c r="K20" s="72">
        <f>IFERROR(SUMPRODUCT((Payment_Data.$B$6:$B$100="HR-005")*(Payment_Data.$J$6:$J$100=K$6)*(Payment_Data.$I$6:$I$100)),0)</f>
        <v/>
      </c>
      <c r="L20" s="70">
        <f>IFERROR(SUMPRODUCT((Payment_Data.$B$6:$B$100="HR-005")*(Payment_Data.$J$6:$J$100=L$6)*(Payment_Data.$I$6:$I$100)),0)</f>
        <v/>
      </c>
      <c r="M20" s="70">
        <f>IFERROR(SUMPRODUCT((Payment_Data.$B$6:$B$100="HR-005")*(Payment_Data.$J$6:$J$100=M$6)*(Payment_Data.$I$6:$I$100)),0)</f>
        <v/>
      </c>
      <c r="N20" s="70">
        <f>IFERROR(SUMPRODUCT((Payment_Data.$B$6:$B$100="HR-005")*(Payment_Data.$J$6:$J$100=N$6)*(Payment_Data.$I$6:$I$100)),0)</f>
        <v/>
      </c>
      <c r="O20" s="70">
        <f>IFERROR(SUMPRODUCT((Payment_Data.$B$6:$B$100="HR-005")*(Payment_Data.$J$6:$J$100=O$6)*(Payment_Data.$I$6:$I$100)),0)</f>
        <v/>
      </c>
      <c r="P20" s="70">
        <f>IFERROR(SUMPRODUCT((Payment_Data.$B$6:$B$100="HR-005")*(Payment_Data.$J$6:$J$100=P$6)*(Payment_Data.$I$6:$I$100)),0)</f>
        <v/>
      </c>
      <c r="Q20" s="71">
        <f>IFERROR(SUMPRODUCT((Payment_Data.$B$6:$B$100="HR-005")*(Payment_Data.$J$6:$J$100=Q$6)*(Payment_Data.$I$6:$I$100)),0)</f>
        <v/>
      </c>
      <c r="R20" s="72">
        <f>IFERROR(SUMPRODUCT((Payment_Data.$B$6:$B$100="HR-005")*(Payment_Data.$J$6:$J$100=R$6)*(Payment_Data.$I$6:$I$100)),0)</f>
        <v/>
      </c>
      <c r="S20" s="70">
        <f>IFERROR(SUMPRODUCT((Payment_Data.$B$6:$B$100="HR-005")*(Payment_Data.$J$6:$J$100=S$6)*(Payment_Data.$I$6:$I$100)),0)</f>
        <v/>
      </c>
      <c r="T20" s="70">
        <f>IFERROR(SUMPRODUCT((Payment_Data.$B$6:$B$100="HR-005")*(Payment_Data.$J$6:$J$100=T$6)*(Payment_Data.$I$6:$I$100)),0)</f>
        <v/>
      </c>
      <c r="U20" s="70">
        <f>IFERROR(SUMPRODUCT((Payment_Data.$B$6:$B$100="HR-005")*(Payment_Data.$J$6:$J$100=U$6)*(Payment_Data.$I$6:$I$100)),0)</f>
        <v/>
      </c>
      <c r="V20" s="70">
        <f>IFERROR(SUMPRODUCT((Payment_Data.$B$6:$B$100="HR-005")*(Payment_Data.$J$6:$J$100=V$6)*(Payment_Data.$I$6:$I$100)),0)</f>
        <v/>
      </c>
      <c r="W20" s="70">
        <f>IFERROR(SUMPRODUCT((Payment_Data.$B$6:$B$100="HR-005")*(Payment_Data.$J$6:$J$100=W$6)*(Payment_Data.$I$6:$I$100)),0)</f>
        <v/>
      </c>
      <c r="X20" s="71">
        <f>IFERROR(SUMPRODUCT((Payment_Data.$B$6:$B$100="HR-005")*(Payment_Data.$J$6:$J$100=X$6)*(Payment_Data.$I$6:$I$100)),0)</f>
        <v/>
      </c>
      <c r="Y20" s="72">
        <f>IFERROR(SUMPRODUCT((Payment_Data.$B$6:$B$100="HR-005")*(Payment_Data.$J$6:$J$100=Y$6)*(Payment_Data.$I$6:$I$100)),0)</f>
        <v/>
      </c>
      <c r="Z20" s="70">
        <f>IFERROR(SUMPRODUCT((Payment_Data.$B$6:$B$100="HR-005")*(Payment_Data.$J$6:$J$100=Z$6)*(Payment_Data.$I$6:$I$100)),0)</f>
        <v/>
      </c>
      <c r="AA20" s="70">
        <f>IFERROR(SUMPRODUCT((Payment_Data.$B$6:$B$100="HR-005")*(Payment_Data.$J$6:$J$100=AA$6)*(Payment_Data.$I$6:$I$100)),0)</f>
        <v/>
      </c>
      <c r="AB20" s="70">
        <f>IFERROR(SUMPRODUCT((Payment_Data.$B$6:$B$100="HR-005")*(Payment_Data.$J$6:$J$100=AB$6)*(Payment_Data.$I$6:$I$100)),0)</f>
        <v/>
      </c>
      <c r="AC20" s="70">
        <f>IFERROR(SUMPRODUCT((Payment_Data.$B$6:$B$100="HR-005")*(Payment_Data.$J$6:$J$100=AC$6)*(Payment_Data.$I$6:$I$100)),0)</f>
        <v/>
      </c>
      <c r="AD20" s="70">
        <f>IFERROR(SUMPRODUCT((Payment_Data.$B$6:$B$100="HR-005")*(Payment_Data.$J$6:$J$100=AD$6)*(Payment_Data.$I$6:$I$100)),0)</f>
        <v/>
      </c>
      <c r="AE20" s="71">
        <f>IFERROR(SUMPRODUCT((Payment_Data.$B$6:$B$100="HR-005")*(Payment_Data.$J$6:$J$100=AE$6)*(Payment_Data.$I$6:$I$100)),0)</f>
        <v/>
      </c>
      <c r="AF20" s="72">
        <f>IFERROR(SUMPRODUCT((Payment_Data.$B$6:$B$100="HR-005")*(Payment_Data.$J$6:$J$100=AF$6)*(Payment_Data.$I$6:$I$100)),0)</f>
        <v/>
      </c>
      <c r="AG20" s="70">
        <f>IFERROR(SUMPRODUCT((Payment_Data.$B$6:$B$100="HR-005")*(Payment_Data.$J$6:$J$100=AG$6)*(Payment_Data.$I$6:$I$100)),0)</f>
        <v/>
      </c>
      <c r="AH20" s="70">
        <f>IFERROR(SUMPRODUCT((Payment_Data.$B$6:$B$100="HR-005")*(Payment_Data.$J$6:$J$100=AH$6)*(Payment_Data.$I$6:$I$100)),0)</f>
        <v/>
      </c>
      <c r="AI20" s="70">
        <f>IFERROR(SUMPRODUCT((Payment_Data.$B$6:$B$100="HR-005")*(Payment_Data.$J$6:$J$100=AI$6)*(Payment_Data.$I$6:$I$100)),0)</f>
        <v/>
      </c>
      <c r="AJ20" s="70">
        <f>IFERROR(SUMPRODUCT((Payment_Data.$B$6:$B$100="HR-005")*(Payment_Data.$J$6:$J$100=AJ$6)*(Payment_Data.$I$6:$I$100)),0)</f>
        <v/>
      </c>
      <c r="AK20" s="70">
        <f>IFERROR(SUMPRODUCT((Payment_Data.$B$6:$B$100="HR-005")*(Payment_Data.$J$6:$J$100=AK$6)*(Payment_Data.$I$6:$I$100)),0)</f>
        <v/>
      </c>
      <c r="AL20" s="71">
        <f>IFERROR(SUMPRODUCT((Payment_Data.$B$6:$B$100="HR-005")*(Payment_Data.$J$6:$J$100=AL$6)*(Payment_Data.$I$6:$I$100)),0)</f>
        <v/>
      </c>
      <c r="AM20" s="72">
        <f>IFERROR(SUMPRODUCT((Payment_Data.$B$6:$B$100="HR-005")*(Payment_Data.$J$6:$J$100=AM$6)*(Payment_Data.$I$6:$I$100)),0)</f>
        <v/>
      </c>
      <c r="AN20" s="70">
        <f>IFERROR(SUMPRODUCT((Payment_Data.$B$6:$B$100="HR-005")*(Payment_Data.$J$6:$J$100=AN$6)*(Payment_Data.$I$6:$I$100)),0)</f>
        <v/>
      </c>
      <c r="AO20" s="70">
        <f>IFERROR(SUMPRODUCT((Payment_Data.$B$6:$B$100="HR-005")*(Payment_Data.$J$6:$J$100=AO$6)*(Payment_Data.$I$6:$I$100)),0)</f>
        <v/>
      </c>
      <c r="AP20" s="70">
        <f>IFERROR(SUMPRODUCT((Payment_Data.$B$6:$B$100="HR-005")*(Payment_Data.$J$6:$J$100=AP$6)*(Payment_Data.$I$6:$I$100)),0)</f>
        <v/>
      </c>
      <c r="AQ20" s="70">
        <f>IFERROR(SUMPRODUCT((Payment_Data.$B$6:$B$100="HR-005")*(Payment_Data.$J$6:$J$100=AQ$6)*(Payment_Data.$I$6:$I$100)),0)</f>
        <v/>
      </c>
      <c r="AR20" s="70">
        <f>IFERROR(SUMPRODUCT((Payment_Data.$B$6:$B$100="HR-005")*(Payment_Data.$J$6:$J$100=AR$6)*(Payment_Data.$I$6:$I$100)),0)</f>
        <v/>
      </c>
      <c r="AS20" s="71">
        <f>IFERROR(SUMPRODUCT((Payment_Data.$B$6:$B$100="HR-005")*(Payment_Data.$J$6:$J$100=AS$6)*(Payment_Data.$I$6:$I$100)),0)</f>
        <v/>
      </c>
      <c r="AT20" s="72">
        <f>IFERROR(SUMPRODUCT((Payment_Data.$B$6:$B$100="HR-005")*(Payment_Data.$J$6:$J$100=AT$6)*(Payment_Data.$I$6:$I$100)),0)</f>
        <v/>
      </c>
      <c r="AU20" s="70">
        <f>IFERROR(SUMPRODUCT((Payment_Data.$B$6:$B$100="HR-005")*(Payment_Data.$J$6:$J$100=AU$6)*(Payment_Data.$I$6:$I$100)),0)</f>
        <v/>
      </c>
      <c r="AV20" s="70">
        <f>IFERROR(SUMPRODUCT((Payment_Data.$B$6:$B$100="HR-005")*(Payment_Data.$J$6:$J$100=AV$6)*(Payment_Data.$I$6:$I$100)),0)</f>
        <v/>
      </c>
      <c r="AW20" s="70">
        <f>IFERROR(SUMPRODUCT((Payment_Data.$B$6:$B$100="HR-005")*(Payment_Data.$J$6:$J$100=AW$6)*(Payment_Data.$I$6:$I$100)),0)</f>
        <v/>
      </c>
      <c r="AX20" s="70">
        <f>IFERROR(SUMPRODUCT((Payment_Data.$B$6:$B$100="HR-005")*(Payment_Data.$J$6:$J$100=AX$6)*(Payment_Data.$I$6:$I$100)),0)</f>
        <v/>
      </c>
      <c r="AY20" s="70">
        <f>IFERROR(SUMPRODUCT((Payment_Data.$B$6:$B$100="HR-005")*(Payment_Data.$J$6:$J$100=AY$6)*(Payment_Data.$I$6:$I$100)),0)</f>
        <v/>
      </c>
      <c r="AZ20" s="71">
        <f>IFERROR(SUMPRODUCT((Payment_Data.$B$6:$B$100="HR-005")*(Payment_Data.$J$6:$J$100=AZ$6)*(Payment_Data.$I$6:$I$100)),0)</f>
        <v/>
      </c>
      <c r="BA20" s="72">
        <f>IFERROR(SUMPRODUCT((Payment_Data.$B$6:$B$100="HR-005")*(Payment_Data.$J$6:$J$100=BA$6)*(Payment_Data.$I$6:$I$100)),0)</f>
        <v/>
      </c>
      <c r="BB20" s="70">
        <f>IFERROR(SUMPRODUCT((Payment_Data.$B$6:$B$100="HR-005")*(Payment_Data.$J$6:$J$100=BB$6)*(Payment_Data.$I$6:$I$100)),0)</f>
        <v/>
      </c>
      <c r="BC20" s="70">
        <f>IFERROR(SUMPRODUCT((Payment_Data.$B$6:$B$100="HR-005")*(Payment_Data.$J$6:$J$100=BC$6)*(Payment_Data.$I$6:$I$100)),0)</f>
        <v/>
      </c>
      <c r="BD20" s="70">
        <f>IFERROR(SUMPRODUCT((Payment_Data.$B$6:$B$100="HR-005")*(Payment_Data.$J$6:$J$100=BD$6)*(Payment_Data.$I$6:$I$100)),0)</f>
        <v/>
      </c>
      <c r="BE20" s="70">
        <f>IFERROR(SUMPRODUCT((Payment_Data.$B$6:$B$100="HR-005")*(Payment_Data.$J$6:$J$100=BE$6)*(Payment_Data.$I$6:$I$100)),0)</f>
        <v/>
      </c>
      <c r="BF20" s="70">
        <f>IFERROR(SUMPRODUCT((Payment_Data.$B$6:$B$100="HR-005")*(Payment_Data.$J$6:$J$100=BF$6)*(Payment_Data.$I$6:$I$100)),0)</f>
        <v/>
      </c>
      <c r="BG20" s="71">
        <f>IFERROR(SUMPRODUCT((Payment_Data.$B$6:$B$100="HR-005")*(Payment_Data.$J$6:$J$100=BG$6)*(Payment_Data.$I$6:$I$100)),0)</f>
        <v/>
      </c>
      <c r="BH20" s="72">
        <f>IFERROR(SUMPRODUCT((Payment_Data.$B$6:$B$100="HR-005")*(Payment_Data.$J$6:$J$100=BH$6)*(Payment_Data.$I$6:$I$100)),0)</f>
        <v/>
      </c>
      <c r="BI20" s="70">
        <f>IFERROR(SUMPRODUCT((Payment_Data.$B$6:$B$100="HR-005")*(Payment_Data.$J$6:$J$100=BI$6)*(Payment_Data.$I$6:$I$100)),0)</f>
        <v/>
      </c>
      <c r="BJ20" s="70">
        <f>IFERROR(SUMPRODUCT((Payment_Data.$B$6:$B$100="HR-005")*(Payment_Data.$J$6:$J$100=BJ$6)*(Payment_Data.$I$6:$I$100)),0)</f>
        <v/>
      </c>
      <c r="BK20" s="70">
        <f>IFERROR(SUMPRODUCT((Payment_Data.$B$6:$B$100="HR-005")*(Payment_Data.$J$6:$J$100=BK$6)*(Payment_Data.$I$6:$I$100)),0)</f>
        <v/>
      </c>
      <c r="BL20" s="70">
        <f>IFERROR(SUMPRODUCT((Payment_Data.$B$6:$B$100="HR-005")*(Payment_Data.$J$6:$J$100=BL$6)*(Payment_Data.$I$6:$I$100)),0)</f>
        <v/>
      </c>
    </row>
    <row r="21">
      <c r="A21" s="66" t="inlineStr">
        <is>
          <t>GOVERNMENT PAYMENTS</t>
        </is>
      </c>
      <c r="B21" s="94" t="n"/>
      <c r="C21" s="94" t="n"/>
      <c r="D21" s="95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67" t="n"/>
      <c r="AR21" s="67" t="n"/>
      <c r="AS21" s="67" t="n"/>
      <c r="AT21" s="67" t="n"/>
      <c r="AU21" s="67" t="n"/>
      <c r="AV21" s="67" t="n"/>
      <c r="AW21" s="67" t="n"/>
      <c r="AX21" s="67" t="n"/>
      <c r="AY21" s="67" t="n"/>
      <c r="AZ21" s="67" t="n"/>
      <c r="BA21" s="67" t="n"/>
      <c r="BB21" s="67" t="n"/>
      <c r="BC21" s="67" t="n"/>
      <c r="BD21" s="67" t="n"/>
      <c r="BE21" s="67" t="n"/>
      <c r="BF21" s="67" t="n"/>
      <c r="BG21" s="67" t="n"/>
      <c r="BH21" s="67" t="n"/>
      <c r="BI21" s="67" t="n"/>
      <c r="BJ21" s="67" t="n"/>
      <c r="BK21" s="67" t="n"/>
      <c r="BL21" s="67" t="n"/>
    </row>
    <row r="22">
      <c r="A22" s="63" t="inlineStr">
        <is>
          <t>GOVT</t>
        </is>
      </c>
      <c r="B22" s="32" t="inlineStr">
        <is>
          <t>ZATCA (Tax Authority)</t>
        </is>
      </c>
      <c r="C22" s="10" t="inlineStr">
        <is>
          <t>SAR</t>
        </is>
      </c>
      <c r="D22" s="10">
        <f>IFERROR(INDEX(Payment_Data.$L$6:$L$100,MATCH("GOV-001",Payment_Data.$B$6:$B$100,0)),"")</f>
        <v/>
      </c>
      <c r="E22" s="70">
        <f>IFERROR(SUMPRODUCT((Payment_Data.$B$6:$B$100="VND-013")*(Payment_Data.$J$6:$J$100=E$6)*(Payment_Data.$I$6:$I$100)),0)</f>
        <v/>
      </c>
      <c r="F22" s="70">
        <f>IFERROR(SUMPRODUCT((Payment_Data.$B$6:$B$100="VND-013")*(Payment_Data.$J$6:$J$100=F$6)*(Payment_Data.$I$6:$I$100)),0)</f>
        <v/>
      </c>
      <c r="G22" s="70">
        <f>IFERROR(SUMPRODUCT((Payment_Data.$B$6:$B$100="VND-013")*(Payment_Data.$J$6:$J$100=G$6)*(Payment_Data.$I$6:$I$100)),0)</f>
        <v/>
      </c>
      <c r="H22" s="70">
        <f>IFERROR(SUMPRODUCT((Payment_Data.$B$6:$B$100="VND-013")*(Payment_Data.$J$6:$J$100=H$6)*(Payment_Data.$I$6:$I$100)),0)</f>
        <v/>
      </c>
      <c r="I22" s="70">
        <f>IFERROR(SUMPRODUCT((Payment_Data.$B$6:$B$100="VND-013")*(Payment_Data.$J$6:$J$100=I$6)*(Payment_Data.$I$6:$I$100)),0)</f>
        <v/>
      </c>
      <c r="J22" s="71">
        <f>IFERROR(SUMPRODUCT((Payment_Data.$B$6:$B$100="VND-013")*(Payment_Data.$J$6:$J$100=J$6)*(Payment_Data.$I$6:$I$100)),0)</f>
        <v/>
      </c>
      <c r="K22" s="72">
        <f>IFERROR(SUMPRODUCT((Payment_Data.$B$6:$B$100="VND-013")*(Payment_Data.$J$6:$J$100=K$6)*(Payment_Data.$I$6:$I$100)),0)</f>
        <v/>
      </c>
      <c r="L22" s="70">
        <f>IFERROR(SUMPRODUCT((Payment_Data.$B$6:$B$100="VND-013")*(Payment_Data.$J$6:$J$100=L$6)*(Payment_Data.$I$6:$I$100)),0)</f>
        <v/>
      </c>
      <c r="M22" s="70">
        <f>IFERROR(SUMPRODUCT((Payment_Data.$B$6:$B$100="VND-013")*(Payment_Data.$J$6:$J$100=M$6)*(Payment_Data.$I$6:$I$100)),0)</f>
        <v/>
      </c>
      <c r="N22" s="70">
        <f>IFERROR(SUMPRODUCT((Payment_Data.$B$6:$B$100="VND-013")*(Payment_Data.$J$6:$J$100=N$6)*(Payment_Data.$I$6:$I$100)),0)</f>
        <v/>
      </c>
      <c r="O22" s="70">
        <f>IFERROR(SUMPRODUCT((Payment_Data.$B$6:$B$100="VND-013")*(Payment_Data.$J$6:$J$100=O$6)*(Payment_Data.$I$6:$I$100)),0)</f>
        <v/>
      </c>
      <c r="P22" s="70">
        <f>IFERROR(SUMPRODUCT((Payment_Data.$B$6:$B$100="VND-013")*(Payment_Data.$J$6:$J$100=P$6)*(Payment_Data.$I$6:$I$100)),0)</f>
        <v/>
      </c>
      <c r="Q22" s="71">
        <f>IFERROR(SUMPRODUCT((Payment_Data.$B$6:$B$100="VND-013")*(Payment_Data.$J$6:$J$100=Q$6)*(Payment_Data.$I$6:$I$100)),0)</f>
        <v/>
      </c>
      <c r="R22" s="72">
        <f>IFERROR(SUMPRODUCT((Payment_Data.$B$6:$B$100="VND-013")*(Payment_Data.$J$6:$J$100=R$6)*(Payment_Data.$I$6:$I$100)),0)</f>
        <v/>
      </c>
      <c r="S22" s="70">
        <f>IFERROR(SUMPRODUCT((Payment_Data.$B$6:$B$100="VND-013")*(Payment_Data.$J$6:$J$100=S$6)*(Payment_Data.$I$6:$I$100)),0)</f>
        <v/>
      </c>
      <c r="T22" s="70">
        <f>IFERROR(SUMPRODUCT((Payment_Data.$B$6:$B$100="VND-013")*(Payment_Data.$J$6:$J$100=T$6)*(Payment_Data.$I$6:$I$100)),0)</f>
        <v/>
      </c>
      <c r="U22" s="70">
        <f>IFERROR(SUMPRODUCT((Payment_Data.$B$6:$B$100="VND-013")*(Payment_Data.$J$6:$J$100=U$6)*(Payment_Data.$I$6:$I$100)),0)</f>
        <v/>
      </c>
      <c r="V22" s="70">
        <f>IFERROR(SUMPRODUCT((Payment_Data.$B$6:$B$100="VND-013")*(Payment_Data.$J$6:$J$100=V$6)*(Payment_Data.$I$6:$I$100)),0)</f>
        <v/>
      </c>
      <c r="W22" s="70">
        <f>IFERROR(SUMPRODUCT((Payment_Data.$B$6:$B$100="VND-013")*(Payment_Data.$J$6:$J$100=W$6)*(Payment_Data.$I$6:$I$100)),0)</f>
        <v/>
      </c>
      <c r="X22" s="71">
        <f>IFERROR(SUMPRODUCT((Payment_Data.$B$6:$B$100="VND-013")*(Payment_Data.$J$6:$J$100=X$6)*(Payment_Data.$I$6:$I$100)),0)</f>
        <v/>
      </c>
      <c r="Y22" s="72">
        <f>IFERROR(SUMPRODUCT((Payment_Data.$B$6:$B$100="VND-013")*(Payment_Data.$J$6:$J$100=Y$6)*(Payment_Data.$I$6:$I$100)),0)</f>
        <v/>
      </c>
      <c r="Z22" s="70">
        <f>IFERROR(SUMPRODUCT((Payment_Data.$B$6:$B$100="VND-013")*(Payment_Data.$J$6:$J$100=Z$6)*(Payment_Data.$I$6:$I$100)),0)</f>
        <v/>
      </c>
      <c r="AA22" s="70">
        <f>IFERROR(SUMPRODUCT((Payment_Data.$B$6:$B$100="VND-013")*(Payment_Data.$J$6:$J$100=AA$6)*(Payment_Data.$I$6:$I$100)),0)</f>
        <v/>
      </c>
      <c r="AB22" s="70">
        <f>IFERROR(SUMPRODUCT((Payment_Data.$B$6:$B$100="VND-013")*(Payment_Data.$J$6:$J$100=AB$6)*(Payment_Data.$I$6:$I$100)),0)</f>
        <v/>
      </c>
      <c r="AC22" s="70">
        <f>IFERROR(SUMPRODUCT((Payment_Data.$B$6:$B$100="VND-013")*(Payment_Data.$J$6:$J$100=AC$6)*(Payment_Data.$I$6:$I$100)),0)</f>
        <v/>
      </c>
      <c r="AD22" s="70">
        <f>IFERROR(SUMPRODUCT((Payment_Data.$B$6:$B$100="VND-013")*(Payment_Data.$J$6:$J$100=AD$6)*(Payment_Data.$I$6:$I$100)),0)</f>
        <v/>
      </c>
      <c r="AE22" s="71">
        <f>IFERROR(SUMPRODUCT((Payment_Data.$B$6:$B$100="VND-013")*(Payment_Data.$J$6:$J$100=AE$6)*(Payment_Data.$I$6:$I$100)),0)</f>
        <v/>
      </c>
      <c r="AF22" s="72">
        <f>IFERROR(SUMPRODUCT((Payment_Data.$B$6:$B$100="VND-013")*(Payment_Data.$J$6:$J$100=AF$6)*(Payment_Data.$I$6:$I$100)),0)</f>
        <v/>
      </c>
      <c r="AG22" s="70">
        <f>IFERROR(SUMPRODUCT((Payment_Data.$B$6:$B$100="VND-013")*(Payment_Data.$J$6:$J$100=AG$6)*(Payment_Data.$I$6:$I$100)),0)</f>
        <v/>
      </c>
      <c r="AH22" s="70">
        <f>IFERROR(SUMPRODUCT((Payment_Data.$B$6:$B$100="VND-013")*(Payment_Data.$J$6:$J$100=AH$6)*(Payment_Data.$I$6:$I$100)),0)</f>
        <v/>
      </c>
      <c r="AI22" s="70">
        <f>IFERROR(SUMPRODUCT((Payment_Data.$B$6:$B$100="VND-013")*(Payment_Data.$J$6:$J$100=AI$6)*(Payment_Data.$I$6:$I$100)),0)</f>
        <v/>
      </c>
      <c r="AJ22" s="70">
        <f>IFERROR(SUMPRODUCT((Payment_Data.$B$6:$B$100="VND-013")*(Payment_Data.$J$6:$J$100=AJ$6)*(Payment_Data.$I$6:$I$100)),0)</f>
        <v/>
      </c>
      <c r="AK22" s="70">
        <f>IFERROR(SUMPRODUCT((Payment_Data.$B$6:$B$100="VND-013")*(Payment_Data.$J$6:$J$100=AK$6)*(Payment_Data.$I$6:$I$100)),0)</f>
        <v/>
      </c>
      <c r="AL22" s="71">
        <f>IFERROR(SUMPRODUCT((Payment_Data.$B$6:$B$100="VND-013")*(Payment_Data.$J$6:$J$100=AL$6)*(Payment_Data.$I$6:$I$100)),0)</f>
        <v/>
      </c>
      <c r="AM22" s="72">
        <f>IFERROR(SUMPRODUCT((Payment_Data.$B$6:$B$100="VND-013")*(Payment_Data.$J$6:$J$100=AM$6)*(Payment_Data.$I$6:$I$100)),0)</f>
        <v/>
      </c>
      <c r="AN22" s="70">
        <f>IFERROR(SUMPRODUCT((Payment_Data.$B$6:$B$100="VND-013")*(Payment_Data.$J$6:$J$100=AN$6)*(Payment_Data.$I$6:$I$100)),0)</f>
        <v/>
      </c>
      <c r="AO22" s="70">
        <f>IFERROR(SUMPRODUCT((Payment_Data.$B$6:$B$100="VND-013")*(Payment_Data.$J$6:$J$100=AO$6)*(Payment_Data.$I$6:$I$100)),0)</f>
        <v/>
      </c>
      <c r="AP22" s="70">
        <f>IFERROR(SUMPRODUCT((Payment_Data.$B$6:$B$100="VND-013")*(Payment_Data.$J$6:$J$100=AP$6)*(Payment_Data.$I$6:$I$100)),0)</f>
        <v/>
      </c>
      <c r="AQ22" s="70">
        <f>IFERROR(SUMPRODUCT((Payment_Data.$B$6:$B$100="VND-013")*(Payment_Data.$J$6:$J$100=AQ$6)*(Payment_Data.$I$6:$I$100)),0)</f>
        <v/>
      </c>
      <c r="AR22" s="70">
        <f>IFERROR(SUMPRODUCT((Payment_Data.$B$6:$B$100="VND-013")*(Payment_Data.$J$6:$J$100=AR$6)*(Payment_Data.$I$6:$I$100)),0)</f>
        <v/>
      </c>
      <c r="AS22" s="71">
        <f>IFERROR(SUMPRODUCT((Payment_Data.$B$6:$B$100="VND-013")*(Payment_Data.$J$6:$J$100=AS$6)*(Payment_Data.$I$6:$I$100)),0)</f>
        <v/>
      </c>
      <c r="AT22" s="72">
        <f>IFERROR(SUMPRODUCT((Payment_Data.$B$6:$B$100="VND-013")*(Payment_Data.$J$6:$J$100=AT$6)*(Payment_Data.$I$6:$I$100)),0)</f>
        <v/>
      </c>
      <c r="AU22" s="70">
        <f>IFERROR(SUMPRODUCT((Payment_Data.$B$6:$B$100="VND-013")*(Payment_Data.$J$6:$J$100=AU$6)*(Payment_Data.$I$6:$I$100)),0)</f>
        <v/>
      </c>
      <c r="AV22" s="70">
        <f>IFERROR(SUMPRODUCT((Payment_Data.$B$6:$B$100="VND-013")*(Payment_Data.$J$6:$J$100=AV$6)*(Payment_Data.$I$6:$I$100)),0)</f>
        <v/>
      </c>
      <c r="AW22" s="70">
        <f>IFERROR(SUMPRODUCT((Payment_Data.$B$6:$B$100="VND-013")*(Payment_Data.$J$6:$J$100=AW$6)*(Payment_Data.$I$6:$I$100)),0)</f>
        <v/>
      </c>
      <c r="AX22" s="70">
        <f>IFERROR(SUMPRODUCT((Payment_Data.$B$6:$B$100="VND-013")*(Payment_Data.$J$6:$J$100=AX$6)*(Payment_Data.$I$6:$I$100)),0)</f>
        <v/>
      </c>
      <c r="AY22" s="70">
        <f>IFERROR(SUMPRODUCT((Payment_Data.$B$6:$B$100="VND-013")*(Payment_Data.$J$6:$J$100=AY$6)*(Payment_Data.$I$6:$I$100)),0)</f>
        <v/>
      </c>
      <c r="AZ22" s="71">
        <f>IFERROR(SUMPRODUCT((Payment_Data.$B$6:$B$100="VND-013")*(Payment_Data.$J$6:$J$100=AZ$6)*(Payment_Data.$I$6:$I$100)),0)</f>
        <v/>
      </c>
      <c r="BA22" s="72">
        <f>IFERROR(SUMPRODUCT((Payment_Data.$B$6:$B$100="VND-013")*(Payment_Data.$J$6:$J$100=BA$6)*(Payment_Data.$I$6:$I$100)),0)</f>
        <v/>
      </c>
      <c r="BB22" s="70">
        <f>IFERROR(SUMPRODUCT((Payment_Data.$B$6:$B$100="VND-013")*(Payment_Data.$J$6:$J$100=BB$6)*(Payment_Data.$I$6:$I$100)),0)</f>
        <v/>
      </c>
      <c r="BC22" s="70">
        <f>IFERROR(SUMPRODUCT((Payment_Data.$B$6:$B$100="VND-013")*(Payment_Data.$J$6:$J$100=BC$6)*(Payment_Data.$I$6:$I$100)),0)</f>
        <v/>
      </c>
      <c r="BD22" s="70">
        <f>IFERROR(SUMPRODUCT((Payment_Data.$B$6:$B$100="VND-013")*(Payment_Data.$J$6:$J$100=BD$6)*(Payment_Data.$I$6:$I$100)),0)</f>
        <v/>
      </c>
      <c r="BE22" s="70">
        <f>IFERROR(SUMPRODUCT((Payment_Data.$B$6:$B$100="VND-013")*(Payment_Data.$J$6:$J$100=BE$6)*(Payment_Data.$I$6:$I$100)),0)</f>
        <v/>
      </c>
      <c r="BF22" s="70">
        <f>IFERROR(SUMPRODUCT((Payment_Data.$B$6:$B$100="VND-013")*(Payment_Data.$J$6:$J$100=BF$6)*(Payment_Data.$I$6:$I$100)),0)</f>
        <v/>
      </c>
      <c r="BG22" s="71">
        <f>IFERROR(SUMPRODUCT((Payment_Data.$B$6:$B$100="VND-013")*(Payment_Data.$J$6:$J$100=BG$6)*(Payment_Data.$I$6:$I$100)),0)</f>
        <v/>
      </c>
      <c r="BH22" s="72">
        <f>IFERROR(SUMPRODUCT((Payment_Data.$B$6:$B$100="VND-013")*(Payment_Data.$J$6:$J$100=BH$6)*(Payment_Data.$I$6:$I$100)),0)</f>
        <v/>
      </c>
      <c r="BI22" s="70">
        <f>IFERROR(SUMPRODUCT((Payment_Data.$B$6:$B$100="VND-013")*(Payment_Data.$J$6:$J$100=BI$6)*(Payment_Data.$I$6:$I$100)),0)</f>
        <v/>
      </c>
      <c r="BJ22" s="70">
        <f>IFERROR(SUMPRODUCT((Payment_Data.$B$6:$B$100="VND-013")*(Payment_Data.$J$6:$J$100=BJ$6)*(Payment_Data.$I$6:$I$100)),0)</f>
        <v/>
      </c>
      <c r="BK22" s="70">
        <f>IFERROR(SUMPRODUCT((Payment_Data.$B$6:$B$100="VND-013")*(Payment_Data.$J$6:$J$100=BK$6)*(Payment_Data.$I$6:$I$100)),0)</f>
        <v/>
      </c>
      <c r="BL22" s="70">
        <f>IFERROR(SUMPRODUCT((Payment_Data.$B$6:$B$100="VND-013")*(Payment_Data.$J$6:$J$100=BL$6)*(Payment_Data.$I$6:$I$100)),0)</f>
        <v/>
      </c>
    </row>
    <row r="23">
      <c r="A23" s="63" t="inlineStr">
        <is>
          <t>GOVT</t>
        </is>
      </c>
      <c r="B23" s="32" t="inlineStr">
        <is>
          <t>Ministry of Labor</t>
        </is>
      </c>
      <c r="C23" s="10" t="inlineStr">
        <is>
          <t>SAR</t>
        </is>
      </c>
      <c r="D23" s="10">
        <f>IFERROR(INDEX(Payment_Data.$L$6:$L$100,MATCH("GOV-002",Payment_Data.$B$6:$B$100,0)),"")</f>
        <v/>
      </c>
      <c r="E23" s="70">
        <f>IFERROR(SUMPRODUCT((Payment_Data.$B$6:$B$100="GOV-002")*(Payment_Data.$J$6:$J$100=E$6)*(Payment_Data.$I$6:$I$100)),0)</f>
        <v/>
      </c>
      <c r="F23" s="70">
        <f>IFERROR(SUMPRODUCT((Payment_Data.$B$6:$B$100="GOV-002")*(Payment_Data.$J$6:$J$100=F$6)*(Payment_Data.$I$6:$I$100)),0)</f>
        <v/>
      </c>
      <c r="G23" s="70">
        <f>IFERROR(SUMPRODUCT((Payment_Data.$B$6:$B$100="GOV-002")*(Payment_Data.$J$6:$J$100=G$6)*(Payment_Data.$I$6:$I$100)),0)</f>
        <v/>
      </c>
      <c r="H23" s="70">
        <f>IFERROR(SUMPRODUCT((Payment_Data.$B$6:$B$100="GOV-002")*(Payment_Data.$J$6:$J$100=H$6)*(Payment_Data.$I$6:$I$100)),0)</f>
        <v/>
      </c>
      <c r="I23" s="70">
        <f>IFERROR(SUMPRODUCT((Payment_Data.$B$6:$B$100="GOV-002")*(Payment_Data.$J$6:$J$100=I$6)*(Payment_Data.$I$6:$I$100)),0)</f>
        <v/>
      </c>
      <c r="J23" s="71">
        <f>IFERROR(SUMPRODUCT((Payment_Data.$B$6:$B$100="GOV-002")*(Payment_Data.$J$6:$J$100=J$6)*(Payment_Data.$I$6:$I$100)),0)</f>
        <v/>
      </c>
      <c r="K23" s="72">
        <f>IFERROR(SUMPRODUCT((Payment_Data.$B$6:$B$100="GOV-002")*(Payment_Data.$J$6:$J$100=K$6)*(Payment_Data.$I$6:$I$100)),0)</f>
        <v/>
      </c>
      <c r="L23" s="70">
        <f>IFERROR(SUMPRODUCT((Payment_Data.$B$6:$B$100="GOV-002")*(Payment_Data.$J$6:$J$100=L$6)*(Payment_Data.$I$6:$I$100)),0)</f>
        <v/>
      </c>
      <c r="M23" s="70">
        <f>IFERROR(SUMPRODUCT((Payment_Data.$B$6:$B$100="GOV-002")*(Payment_Data.$J$6:$J$100=M$6)*(Payment_Data.$I$6:$I$100)),0)</f>
        <v/>
      </c>
      <c r="N23" s="70">
        <f>IFERROR(SUMPRODUCT((Payment_Data.$B$6:$B$100="GOV-002")*(Payment_Data.$J$6:$J$100=N$6)*(Payment_Data.$I$6:$I$100)),0)</f>
        <v/>
      </c>
      <c r="O23" s="70">
        <f>IFERROR(SUMPRODUCT((Payment_Data.$B$6:$B$100="GOV-002")*(Payment_Data.$J$6:$J$100=O$6)*(Payment_Data.$I$6:$I$100)),0)</f>
        <v/>
      </c>
      <c r="P23" s="70">
        <f>IFERROR(SUMPRODUCT((Payment_Data.$B$6:$B$100="GOV-002")*(Payment_Data.$J$6:$J$100=P$6)*(Payment_Data.$I$6:$I$100)),0)</f>
        <v/>
      </c>
      <c r="Q23" s="71">
        <f>IFERROR(SUMPRODUCT((Payment_Data.$B$6:$B$100="GOV-002")*(Payment_Data.$J$6:$J$100=Q$6)*(Payment_Data.$I$6:$I$100)),0)</f>
        <v/>
      </c>
      <c r="R23" s="72">
        <f>IFERROR(SUMPRODUCT((Payment_Data.$B$6:$B$100="GOV-002")*(Payment_Data.$J$6:$J$100=R$6)*(Payment_Data.$I$6:$I$100)),0)</f>
        <v/>
      </c>
      <c r="S23" s="70">
        <f>IFERROR(SUMPRODUCT((Payment_Data.$B$6:$B$100="GOV-002")*(Payment_Data.$J$6:$J$100=S$6)*(Payment_Data.$I$6:$I$100)),0)</f>
        <v/>
      </c>
      <c r="T23" s="70">
        <f>IFERROR(SUMPRODUCT((Payment_Data.$B$6:$B$100="GOV-002")*(Payment_Data.$J$6:$J$100=T$6)*(Payment_Data.$I$6:$I$100)),0)</f>
        <v/>
      </c>
      <c r="U23" s="70">
        <f>IFERROR(SUMPRODUCT((Payment_Data.$B$6:$B$100="GOV-002")*(Payment_Data.$J$6:$J$100=U$6)*(Payment_Data.$I$6:$I$100)),0)</f>
        <v/>
      </c>
      <c r="V23" s="70">
        <f>IFERROR(SUMPRODUCT((Payment_Data.$B$6:$B$100="GOV-002")*(Payment_Data.$J$6:$J$100=V$6)*(Payment_Data.$I$6:$I$100)),0)</f>
        <v/>
      </c>
      <c r="W23" s="70">
        <f>IFERROR(SUMPRODUCT((Payment_Data.$B$6:$B$100="GOV-002")*(Payment_Data.$J$6:$J$100=W$6)*(Payment_Data.$I$6:$I$100)),0)</f>
        <v/>
      </c>
      <c r="X23" s="71">
        <f>IFERROR(SUMPRODUCT((Payment_Data.$B$6:$B$100="GOV-002")*(Payment_Data.$J$6:$J$100=X$6)*(Payment_Data.$I$6:$I$100)),0)</f>
        <v/>
      </c>
      <c r="Y23" s="72">
        <f>IFERROR(SUMPRODUCT((Payment_Data.$B$6:$B$100="GOV-002")*(Payment_Data.$J$6:$J$100=Y$6)*(Payment_Data.$I$6:$I$100)),0)</f>
        <v/>
      </c>
      <c r="Z23" s="70">
        <f>IFERROR(SUMPRODUCT((Payment_Data.$B$6:$B$100="GOV-002")*(Payment_Data.$J$6:$J$100=Z$6)*(Payment_Data.$I$6:$I$100)),0)</f>
        <v/>
      </c>
      <c r="AA23" s="70">
        <f>IFERROR(SUMPRODUCT((Payment_Data.$B$6:$B$100="GOV-002")*(Payment_Data.$J$6:$J$100=AA$6)*(Payment_Data.$I$6:$I$100)),0)</f>
        <v/>
      </c>
      <c r="AB23" s="70">
        <f>IFERROR(SUMPRODUCT((Payment_Data.$B$6:$B$100="GOV-002")*(Payment_Data.$J$6:$J$100=AB$6)*(Payment_Data.$I$6:$I$100)),0)</f>
        <v/>
      </c>
      <c r="AC23" s="70">
        <f>IFERROR(SUMPRODUCT((Payment_Data.$B$6:$B$100="GOV-002")*(Payment_Data.$J$6:$J$100=AC$6)*(Payment_Data.$I$6:$I$100)),0)</f>
        <v/>
      </c>
      <c r="AD23" s="70">
        <f>IFERROR(SUMPRODUCT((Payment_Data.$B$6:$B$100="GOV-002")*(Payment_Data.$J$6:$J$100=AD$6)*(Payment_Data.$I$6:$I$100)),0)</f>
        <v/>
      </c>
      <c r="AE23" s="71">
        <f>IFERROR(SUMPRODUCT((Payment_Data.$B$6:$B$100="GOV-002")*(Payment_Data.$J$6:$J$100=AE$6)*(Payment_Data.$I$6:$I$100)),0)</f>
        <v/>
      </c>
      <c r="AF23" s="72">
        <f>IFERROR(SUMPRODUCT((Payment_Data.$B$6:$B$100="GOV-002")*(Payment_Data.$J$6:$J$100=AF$6)*(Payment_Data.$I$6:$I$100)),0)</f>
        <v/>
      </c>
      <c r="AG23" s="70">
        <f>IFERROR(SUMPRODUCT((Payment_Data.$B$6:$B$100="GOV-002")*(Payment_Data.$J$6:$J$100=AG$6)*(Payment_Data.$I$6:$I$100)),0)</f>
        <v/>
      </c>
      <c r="AH23" s="70">
        <f>IFERROR(SUMPRODUCT((Payment_Data.$B$6:$B$100="GOV-002")*(Payment_Data.$J$6:$J$100=AH$6)*(Payment_Data.$I$6:$I$100)),0)</f>
        <v/>
      </c>
      <c r="AI23" s="70">
        <f>IFERROR(SUMPRODUCT((Payment_Data.$B$6:$B$100="GOV-002")*(Payment_Data.$J$6:$J$100=AI$6)*(Payment_Data.$I$6:$I$100)),0)</f>
        <v/>
      </c>
      <c r="AJ23" s="70">
        <f>IFERROR(SUMPRODUCT((Payment_Data.$B$6:$B$100="GOV-002")*(Payment_Data.$J$6:$J$100=AJ$6)*(Payment_Data.$I$6:$I$100)),0)</f>
        <v/>
      </c>
      <c r="AK23" s="70">
        <f>IFERROR(SUMPRODUCT((Payment_Data.$B$6:$B$100="GOV-002")*(Payment_Data.$J$6:$J$100=AK$6)*(Payment_Data.$I$6:$I$100)),0)</f>
        <v/>
      </c>
      <c r="AL23" s="71">
        <f>IFERROR(SUMPRODUCT((Payment_Data.$B$6:$B$100="GOV-002")*(Payment_Data.$J$6:$J$100=AL$6)*(Payment_Data.$I$6:$I$100)),0)</f>
        <v/>
      </c>
      <c r="AM23" s="72">
        <f>IFERROR(SUMPRODUCT((Payment_Data.$B$6:$B$100="GOV-002")*(Payment_Data.$J$6:$J$100=AM$6)*(Payment_Data.$I$6:$I$100)),0)</f>
        <v/>
      </c>
      <c r="AN23" s="70">
        <f>IFERROR(SUMPRODUCT((Payment_Data.$B$6:$B$100="GOV-002")*(Payment_Data.$J$6:$J$100=AN$6)*(Payment_Data.$I$6:$I$100)),0)</f>
        <v/>
      </c>
      <c r="AO23" s="70">
        <f>IFERROR(SUMPRODUCT((Payment_Data.$B$6:$B$100="GOV-002")*(Payment_Data.$J$6:$J$100=AO$6)*(Payment_Data.$I$6:$I$100)),0)</f>
        <v/>
      </c>
      <c r="AP23" s="70">
        <f>IFERROR(SUMPRODUCT((Payment_Data.$B$6:$B$100="GOV-002")*(Payment_Data.$J$6:$J$100=AP$6)*(Payment_Data.$I$6:$I$100)),0)</f>
        <v/>
      </c>
      <c r="AQ23" s="70">
        <f>IFERROR(SUMPRODUCT((Payment_Data.$B$6:$B$100="GOV-002")*(Payment_Data.$J$6:$J$100=AQ$6)*(Payment_Data.$I$6:$I$100)),0)</f>
        <v/>
      </c>
      <c r="AR23" s="70">
        <f>IFERROR(SUMPRODUCT((Payment_Data.$B$6:$B$100="GOV-002")*(Payment_Data.$J$6:$J$100=AR$6)*(Payment_Data.$I$6:$I$100)),0)</f>
        <v/>
      </c>
      <c r="AS23" s="71">
        <f>IFERROR(SUMPRODUCT((Payment_Data.$B$6:$B$100="GOV-002")*(Payment_Data.$J$6:$J$100=AS$6)*(Payment_Data.$I$6:$I$100)),0)</f>
        <v/>
      </c>
      <c r="AT23" s="72">
        <f>IFERROR(SUMPRODUCT((Payment_Data.$B$6:$B$100="GOV-002")*(Payment_Data.$J$6:$J$100=AT$6)*(Payment_Data.$I$6:$I$100)),0)</f>
        <v/>
      </c>
      <c r="AU23" s="70">
        <f>IFERROR(SUMPRODUCT((Payment_Data.$B$6:$B$100="GOV-002")*(Payment_Data.$J$6:$J$100=AU$6)*(Payment_Data.$I$6:$I$100)),0)</f>
        <v/>
      </c>
      <c r="AV23" s="70">
        <f>IFERROR(SUMPRODUCT((Payment_Data.$B$6:$B$100="GOV-002")*(Payment_Data.$J$6:$J$100=AV$6)*(Payment_Data.$I$6:$I$100)),0)</f>
        <v/>
      </c>
      <c r="AW23" s="70">
        <f>IFERROR(SUMPRODUCT((Payment_Data.$B$6:$B$100="GOV-002")*(Payment_Data.$J$6:$J$100=AW$6)*(Payment_Data.$I$6:$I$100)),0)</f>
        <v/>
      </c>
      <c r="AX23" s="70">
        <f>IFERROR(SUMPRODUCT((Payment_Data.$B$6:$B$100="GOV-002")*(Payment_Data.$J$6:$J$100=AX$6)*(Payment_Data.$I$6:$I$100)),0)</f>
        <v/>
      </c>
      <c r="AY23" s="70">
        <f>IFERROR(SUMPRODUCT((Payment_Data.$B$6:$B$100="GOV-002")*(Payment_Data.$J$6:$J$100=AY$6)*(Payment_Data.$I$6:$I$100)),0)</f>
        <v/>
      </c>
      <c r="AZ23" s="71">
        <f>IFERROR(SUMPRODUCT((Payment_Data.$B$6:$B$100="GOV-002")*(Payment_Data.$J$6:$J$100=AZ$6)*(Payment_Data.$I$6:$I$100)),0)</f>
        <v/>
      </c>
      <c r="BA23" s="72">
        <f>IFERROR(SUMPRODUCT((Payment_Data.$B$6:$B$100="GOV-002")*(Payment_Data.$J$6:$J$100=BA$6)*(Payment_Data.$I$6:$I$100)),0)</f>
        <v/>
      </c>
      <c r="BB23" s="70">
        <f>IFERROR(SUMPRODUCT((Payment_Data.$B$6:$B$100="GOV-002")*(Payment_Data.$J$6:$J$100=BB$6)*(Payment_Data.$I$6:$I$100)),0)</f>
        <v/>
      </c>
      <c r="BC23" s="70">
        <f>IFERROR(SUMPRODUCT((Payment_Data.$B$6:$B$100="GOV-002")*(Payment_Data.$J$6:$J$100=BC$6)*(Payment_Data.$I$6:$I$100)),0)</f>
        <v/>
      </c>
      <c r="BD23" s="70">
        <f>IFERROR(SUMPRODUCT((Payment_Data.$B$6:$B$100="GOV-002")*(Payment_Data.$J$6:$J$100=BD$6)*(Payment_Data.$I$6:$I$100)),0)</f>
        <v/>
      </c>
      <c r="BE23" s="70">
        <f>IFERROR(SUMPRODUCT((Payment_Data.$B$6:$B$100="GOV-002")*(Payment_Data.$J$6:$J$100=BE$6)*(Payment_Data.$I$6:$I$100)),0)</f>
        <v/>
      </c>
      <c r="BF23" s="70">
        <f>IFERROR(SUMPRODUCT((Payment_Data.$B$6:$B$100="GOV-002")*(Payment_Data.$J$6:$J$100=BF$6)*(Payment_Data.$I$6:$I$100)),0)</f>
        <v/>
      </c>
      <c r="BG23" s="71">
        <f>IFERROR(SUMPRODUCT((Payment_Data.$B$6:$B$100="GOV-002")*(Payment_Data.$J$6:$J$100=BG$6)*(Payment_Data.$I$6:$I$100)),0)</f>
        <v/>
      </c>
      <c r="BH23" s="72">
        <f>IFERROR(SUMPRODUCT((Payment_Data.$B$6:$B$100="GOV-002")*(Payment_Data.$J$6:$J$100=BH$6)*(Payment_Data.$I$6:$I$100)),0)</f>
        <v/>
      </c>
      <c r="BI23" s="70">
        <f>IFERROR(SUMPRODUCT((Payment_Data.$B$6:$B$100="GOV-002")*(Payment_Data.$J$6:$J$100=BI$6)*(Payment_Data.$I$6:$I$100)),0)</f>
        <v/>
      </c>
      <c r="BJ23" s="70">
        <f>IFERROR(SUMPRODUCT((Payment_Data.$B$6:$B$100="GOV-002")*(Payment_Data.$J$6:$J$100=BJ$6)*(Payment_Data.$I$6:$I$100)),0)</f>
        <v/>
      </c>
      <c r="BK23" s="70">
        <f>IFERROR(SUMPRODUCT((Payment_Data.$B$6:$B$100="GOV-002")*(Payment_Data.$J$6:$J$100=BK$6)*(Payment_Data.$I$6:$I$100)),0)</f>
        <v/>
      </c>
      <c r="BL23" s="70">
        <f>IFERROR(SUMPRODUCT((Payment_Data.$B$6:$B$100="GOV-002")*(Payment_Data.$J$6:$J$100=BL$6)*(Payment_Data.$I$6:$I$100)),0)</f>
        <v/>
      </c>
    </row>
    <row r="24">
      <c r="A24" s="63" t="inlineStr">
        <is>
          <t>GOVT</t>
        </is>
      </c>
      <c r="B24" s="32" t="inlineStr">
        <is>
          <t>Municipality Fees</t>
        </is>
      </c>
      <c r="C24" s="10" t="inlineStr">
        <is>
          <t>SAR</t>
        </is>
      </c>
      <c r="D24" s="10">
        <f>IFERROR(INDEX(Payment_Data.$L$6:$L$100,MATCH("GOV-003",Payment_Data.$B$6:$B$100,0)),"")</f>
        <v/>
      </c>
      <c r="E24" s="70">
        <f>IFERROR(SUMPRODUCT((Payment_Data.$B$6:$B$100="GOV-003")*(Payment_Data.$J$6:$J$100=E$6)*(Payment_Data.$I$6:$I$100)),0)</f>
        <v/>
      </c>
      <c r="F24" s="70">
        <f>IFERROR(SUMPRODUCT((Payment_Data.$B$6:$B$100="GOV-003")*(Payment_Data.$J$6:$J$100=F$6)*(Payment_Data.$I$6:$I$100)),0)</f>
        <v/>
      </c>
      <c r="G24" s="70">
        <f>IFERROR(SUMPRODUCT((Payment_Data.$B$6:$B$100="GOV-003")*(Payment_Data.$J$6:$J$100=G$6)*(Payment_Data.$I$6:$I$100)),0)</f>
        <v/>
      </c>
      <c r="H24" s="70">
        <f>IFERROR(SUMPRODUCT((Payment_Data.$B$6:$B$100="GOV-003")*(Payment_Data.$J$6:$J$100=H$6)*(Payment_Data.$I$6:$I$100)),0)</f>
        <v/>
      </c>
      <c r="I24" s="70">
        <f>IFERROR(SUMPRODUCT((Payment_Data.$B$6:$B$100="GOV-003")*(Payment_Data.$J$6:$J$100=I$6)*(Payment_Data.$I$6:$I$100)),0)</f>
        <v/>
      </c>
      <c r="J24" s="71">
        <f>IFERROR(SUMPRODUCT((Payment_Data.$B$6:$B$100="GOV-003")*(Payment_Data.$J$6:$J$100=J$6)*(Payment_Data.$I$6:$I$100)),0)</f>
        <v/>
      </c>
      <c r="K24" s="72">
        <f>IFERROR(SUMPRODUCT((Payment_Data.$B$6:$B$100="GOV-003")*(Payment_Data.$J$6:$J$100=K$6)*(Payment_Data.$I$6:$I$100)),0)</f>
        <v/>
      </c>
      <c r="L24" s="70">
        <f>IFERROR(SUMPRODUCT((Payment_Data.$B$6:$B$100="GOV-003")*(Payment_Data.$J$6:$J$100=L$6)*(Payment_Data.$I$6:$I$100)),0)</f>
        <v/>
      </c>
      <c r="M24" s="70">
        <f>IFERROR(SUMPRODUCT((Payment_Data.$B$6:$B$100="GOV-003")*(Payment_Data.$J$6:$J$100=M$6)*(Payment_Data.$I$6:$I$100)),0)</f>
        <v/>
      </c>
      <c r="N24" s="70">
        <f>IFERROR(SUMPRODUCT((Payment_Data.$B$6:$B$100="GOV-003")*(Payment_Data.$J$6:$J$100=N$6)*(Payment_Data.$I$6:$I$100)),0)</f>
        <v/>
      </c>
      <c r="O24" s="70">
        <f>IFERROR(SUMPRODUCT((Payment_Data.$B$6:$B$100="GOV-003")*(Payment_Data.$J$6:$J$100=O$6)*(Payment_Data.$I$6:$I$100)),0)</f>
        <v/>
      </c>
      <c r="P24" s="70">
        <f>IFERROR(SUMPRODUCT((Payment_Data.$B$6:$B$100="GOV-003")*(Payment_Data.$J$6:$J$100=P$6)*(Payment_Data.$I$6:$I$100)),0)</f>
        <v/>
      </c>
      <c r="Q24" s="71">
        <f>IFERROR(SUMPRODUCT((Payment_Data.$B$6:$B$100="GOV-003")*(Payment_Data.$J$6:$J$100=Q$6)*(Payment_Data.$I$6:$I$100)),0)</f>
        <v/>
      </c>
      <c r="R24" s="72">
        <f>IFERROR(SUMPRODUCT((Payment_Data.$B$6:$B$100="GOV-003")*(Payment_Data.$J$6:$J$100=R$6)*(Payment_Data.$I$6:$I$100)),0)</f>
        <v/>
      </c>
      <c r="S24" s="70">
        <f>IFERROR(SUMPRODUCT((Payment_Data.$B$6:$B$100="GOV-003")*(Payment_Data.$J$6:$J$100=S$6)*(Payment_Data.$I$6:$I$100)),0)</f>
        <v/>
      </c>
      <c r="T24" s="70">
        <f>IFERROR(SUMPRODUCT((Payment_Data.$B$6:$B$100="GOV-003")*(Payment_Data.$J$6:$J$100=T$6)*(Payment_Data.$I$6:$I$100)),0)</f>
        <v/>
      </c>
      <c r="U24" s="70">
        <f>IFERROR(SUMPRODUCT((Payment_Data.$B$6:$B$100="GOV-003")*(Payment_Data.$J$6:$J$100=U$6)*(Payment_Data.$I$6:$I$100)),0)</f>
        <v/>
      </c>
      <c r="V24" s="70">
        <f>IFERROR(SUMPRODUCT((Payment_Data.$B$6:$B$100="GOV-003")*(Payment_Data.$J$6:$J$100=V$6)*(Payment_Data.$I$6:$I$100)),0)</f>
        <v/>
      </c>
      <c r="W24" s="70">
        <f>IFERROR(SUMPRODUCT((Payment_Data.$B$6:$B$100="GOV-003")*(Payment_Data.$J$6:$J$100=W$6)*(Payment_Data.$I$6:$I$100)),0)</f>
        <v/>
      </c>
      <c r="X24" s="71">
        <f>IFERROR(SUMPRODUCT((Payment_Data.$B$6:$B$100="GOV-003")*(Payment_Data.$J$6:$J$100=X$6)*(Payment_Data.$I$6:$I$100)),0)</f>
        <v/>
      </c>
      <c r="Y24" s="72">
        <f>IFERROR(SUMPRODUCT((Payment_Data.$B$6:$B$100="GOV-003")*(Payment_Data.$J$6:$J$100=Y$6)*(Payment_Data.$I$6:$I$100)),0)</f>
        <v/>
      </c>
      <c r="Z24" s="70">
        <f>IFERROR(SUMPRODUCT((Payment_Data.$B$6:$B$100="GOV-003")*(Payment_Data.$J$6:$J$100=Z$6)*(Payment_Data.$I$6:$I$100)),0)</f>
        <v/>
      </c>
      <c r="AA24" s="70">
        <f>IFERROR(SUMPRODUCT((Payment_Data.$B$6:$B$100="GOV-003")*(Payment_Data.$J$6:$J$100=AA$6)*(Payment_Data.$I$6:$I$100)),0)</f>
        <v/>
      </c>
      <c r="AB24" s="70">
        <f>IFERROR(SUMPRODUCT((Payment_Data.$B$6:$B$100="GOV-003")*(Payment_Data.$J$6:$J$100=AB$6)*(Payment_Data.$I$6:$I$100)),0)</f>
        <v/>
      </c>
      <c r="AC24" s="70">
        <f>IFERROR(SUMPRODUCT((Payment_Data.$B$6:$B$100="GOV-003")*(Payment_Data.$J$6:$J$100=AC$6)*(Payment_Data.$I$6:$I$100)),0)</f>
        <v/>
      </c>
      <c r="AD24" s="70">
        <f>IFERROR(SUMPRODUCT((Payment_Data.$B$6:$B$100="GOV-003")*(Payment_Data.$J$6:$J$100=AD$6)*(Payment_Data.$I$6:$I$100)),0)</f>
        <v/>
      </c>
      <c r="AE24" s="71">
        <f>IFERROR(SUMPRODUCT((Payment_Data.$B$6:$B$100="GOV-003")*(Payment_Data.$J$6:$J$100=AE$6)*(Payment_Data.$I$6:$I$100)),0)</f>
        <v/>
      </c>
      <c r="AF24" s="72">
        <f>IFERROR(SUMPRODUCT((Payment_Data.$B$6:$B$100="GOV-003")*(Payment_Data.$J$6:$J$100=AF$6)*(Payment_Data.$I$6:$I$100)),0)</f>
        <v/>
      </c>
      <c r="AG24" s="70">
        <f>IFERROR(SUMPRODUCT((Payment_Data.$B$6:$B$100="GOV-003")*(Payment_Data.$J$6:$J$100=AG$6)*(Payment_Data.$I$6:$I$100)),0)</f>
        <v/>
      </c>
      <c r="AH24" s="70">
        <f>IFERROR(SUMPRODUCT((Payment_Data.$B$6:$B$100="GOV-003")*(Payment_Data.$J$6:$J$100=AH$6)*(Payment_Data.$I$6:$I$100)),0)</f>
        <v/>
      </c>
      <c r="AI24" s="70">
        <f>IFERROR(SUMPRODUCT((Payment_Data.$B$6:$B$100="GOV-003")*(Payment_Data.$J$6:$J$100=AI$6)*(Payment_Data.$I$6:$I$100)),0)</f>
        <v/>
      </c>
      <c r="AJ24" s="70">
        <f>IFERROR(SUMPRODUCT((Payment_Data.$B$6:$B$100="GOV-003")*(Payment_Data.$J$6:$J$100=AJ$6)*(Payment_Data.$I$6:$I$100)),0)</f>
        <v/>
      </c>
      <c r="AK24" s="70">
        <f>IFERROR(SUMPRODUCT((Payment_Data.$B$6:$B$100="GOV-003")*(Payment_Data.$J$6:$J$100=AK$6)*(Payment_Data.$I$6:$I$100)),0)</f>
        <v/>
      </c>
      <c r="AL24" s="71">
        <f>IFERROR(SUMPRODUCT((Payment_Data.$B$6:$B$100="GOV-003")*(Payment_Data.$J$6:$J$100=AL$6)*(Payment_Data.$I$6:$I$100)),0)</f>
        <v/>
      </c>
      <c r="AM24" s="72">
        <f>IFERROR(SUMPRODUCT((Payment_Data.$B$6:$B$100="GOV-003")*(Payment_Data.$J$6:$J$100=AM$6)*(Payment_Data.$I$6:$I$100)),0)</f>
        <v/>
      </c>
      <c r="AN24" s="70">
        <f>IFERROR(SUMPRODUCT((Payment_Data.$B$6:$B$100="GOV-003")*(Payment_Data.$J$6:$J$100=AN$6)*(Payment_Data.$I$6:$I$100)),0)</f>
        <v/>
      </c>
      <c r="AO24" s="70">
        <f>IFERROR(SUMPRODUCT((Payment_Data.$B$6:$B$100="GOV-003")*(Payment_Data.$J$6:$J$100=AO$6)*(Payment_Data.$I$6:$I$100)),0)</f>
        <v/>
      </c>
      <c r="AP24" s="70">
        <f>IFERROR(SUMPRODUCT((Payment_Data.$B$6:$B$100="GOV-003")*(Payment_Data.$J$6:$J$100=AP$6)*(Payment_Data.$I$6:$I$100)),0)</f>
        <v/>
      </c>
      <c r="AQ24" s="70">
        <f>IFERROR(SUMPRODUCT((Payment_Data.$B$6:$B$100="GOV-003")*(Payment_Data.$J$6:$J$100=AQ$6)*(Payment_Data.$I$6:$I$100)),0)</f>
        <v/>
      </c>
      <c r="AR24" s="70">
        <f>IFERROR(SUMPRODUCT((Payment_Data.$B$6:$B$100="GOV-003")*(Payment_Data.$J$6:$J$100=AR$6)*(Payment_Data.$I$6:$I$100)),0)</f>
        <v/>
      </c>
      <c r="AS24" s="71">
        <f>IFERROR(SUMPRODUCT((Payment_Data.$B$6:$B$100="GOV-003")*(Payment_Data.$J$6:$J$100=AS$6)*(Payment_Data.$I$6:$I$100)),0)</f>
        <v/>
      </c>
      <c r="AT24" s="72">
        <f>IFERROR(SUMPRODUCT((Payment_Data.$B$6:$B$100="GOV-003")*(Payment_Data.$J$6:$J$100=AT$6)*(Payment_Data.$I$6:$I$100)),0)</f>
        <v/>
      </c>
      <c r="AU24" s="70">
        <f>IFERROR(SUMPRODUCT((Payment_Data.$B$6:$B$100="GOV-003")*(Payment_Data.$J$6:$J$100=AU$6)*(Payment_Data.$I$6:$I$100)),0)</f>
        <v/>
      </c>
      <c r="AV24" s="70">
        <f>IFERROR(SUMPRODUCT((Payment_Data.$B$6:$B$100="GOV-003")*(Payment_Data.$J$6:$J$100=AV$6)*(Payment_Data.$I$6:$I$100)),0)</f>
        <v/>
      </c>
      <c r="AW24" s="70">
        <f>IFERROR(SUMPRODUCT((Payment_Data.$B$6:$B$100="GOV-003")*(Payment_Data.$J$6:$J$100=AW$6)*(Payment_Data.$I$6:$I$100)),0)</f>
        <v/>
      </c>
      <c r="AX24" s="70">
        <f>IFERROR(SUMPRODUCT((Payment_Data.$B$6:$B$100="GOV-003")*(Payment_Data.$J$6:$J$100=AX$6)*(Payment_Data.$I$6:$I$100)),0)</f>
        <v/>
      </c>
      <c r="AY24" s="70">
        <f>IFERROR(SUMPRODUCT((Payment_Data.$B$6:$B$100="GOV-003")*(Payment_Data.$J$6:$J$100=AY$6)*(Payment_Data.$I$6:$I$100)),0)</f>
        <v/>
      </c>
      <c r="AZ24" s="71">
        <f>IFERROR(SUMPRODUCT((Payment_Data.$B$6:$B$100="GOV-003")*(Payment_Data.$J$6:$J$100=AZ$6)*(Payment_Data.$I$6:$I$100)),0)</f>
        <v/>
      </c>
      <c r="BA24" s="72">
        <f>IFERROR(SUMPRODUCT((Payment_Data.$B$6:$B$100="GOV-003")*(Payment_Data.$J$6:$J$100=BA$6)*(Payment_Data.$I$6:$I$100)),0)</f>
        <v/>
      </c>
      <c r="BB24" s="70">
        <f>IFERROR(SUMPRODUCT((Payment_Data.$B$6:$B$100="GOV-003")*(Payment_Data.$J$6:$J$100=BB$6)*(Payment_Data.$I$6:$I$100)),0)</f>
        <v/>
      </c>
      <c r="BC24" s="70">
        <f>IFERROR(SUMPRODUCT((Payment_Data.$B$6:$B$100="GOV-003")*(Payment_Data.$J$6:$J$100=BC$6)*(Payment_Data.$I$6:$I$100)),0)</f>
        <v/>
      </c>
      <c r="BD24" s="70">
        <f>IFERROR(SUMPRODUCT((Payment_Data.$B$6:$B$100="GOV-003")*(Payment_Data.$J$6:$J$100=BD$6)*(Payment_Data.$I$6:$I$100)),0)</f>
        <v/>
      </c>
      <c r="BE24" s="70">
        <f>IFERROR(SUMPRODUCT((Payment_Data.$B$6:$B$100="GOV-003")*(Payment_Data.$J$6:$J$100=BE$6)*(Payment_Data.$I$6:$I$100)),0)</f>
        <v/>
      </c>
      <c r="BF24" s="70">
        <f>IFERROR(SUMPRODUCT((Payment_Data.$B$6:$B$100="GOV-003")*(Payment_Data.$J$6:$J$100=BF$6)*(Payment_Data.$I$6:$I$100)),0)</f>
        <v/>
      </c>
      <c r="BG24" s="71">
        <f>IFERROR(SUMPRODUCT((Payment_Data.$B$6:$B$100="GOV-003")*(Payment_Data.$J$6:$J$100=BG$6)*(Payment_Data.$I$6:$I$100)),0)</f>
        <v/>
      </c>
      <c r="BH24" s="72">
        <f>IFERROR(SUMPRODUCT((Payment_Data.$B$6:$B$100="GOV-003")*(Payment_Data.$J$6:$J$100=BH$6)*(Payment_Data.$I$6:$I$100)),0)</f>
        <v/>
      </c>
      <c r="BI24" s="70">
        <f>IFERROR(SUMPRODUCT((Payment_Data.$B$6:$B$100="GOV-003")*(Payment_Data.$J$6:$J$100=BI$6)*(Payment_Data.$I$6:$I$100)),0)</f>
        <v/>
      </c>
      <c r="BJ24" s="70">
        <f>IFERROR(SUMPRODUCT((Payment_Data.$B$6:$B$100="GOV-003")*(Payment_Data.$J$6:$J$100=BJ$6)*(Payment_Data.$I$6:$I$100)),0)</f>
        <v/>
      </c>
      <c r="BK24" s="70">
        <f>IFERROR(SUMPRODUCT((Payment_Data.$B$6:$B$100="GOV-003")*(Payment_Data.$J$6:$J$100=BK$6)*(Payment_Data.$I$6:$I$100)),0)</f>
        <v/>
      </c>
      <c r="BL24" s="70">
        <f>IFERROR(SUMPRODUCT((Payment_Data.$B$6:$B$100="GOV-003")*(Payment_Data.$J$6:$J$100=BL$6)*(Payment_Data.$I$6:$I$100)),0)</f>
        <v/>
      </c>
    </row>
    <row r="25">
      <c r="A25" s="66" t="inlineStr">
        <is>
          <t>STRATEGIC PAYMENTS</t>
        </is>
      </c>
      <c r="B25" s="94" t="n"/>
      <c r="C25" s="94" t="n"/>
      <c r="D25" s="95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  <c r="AH25" s="67" t="n"/>
      <c r="AI25" s="67" t="n"/>
      <c r="AJ25" s="67" t="n"/>
      <c r="AK25" s="67" t="n"/>
      <c r="AL25" s="67" t="n"/>
      <c r="AM25" s="67" t="n"/>
      <c r="AN25" s="67" t="n"/>
      <c r="AO25" s="67" t="n"/>
      <c r="AP25" s="67" t="n"/>
      <c r="AQ25" s="67" t="n"/>
      <c r="AR25" s="67" t="n"/>
      <c r="AS25" s="67" t="n"/>
      <c r="AT25" s="67" t="n"/>
      <c r="AU25" s="67" t="n"/>
      <c r="AV25" s="67" t="n"/>
      <c r="AW25" s="67" t="n"/>
      <c r="AX25" s="67" t="n"/>
      <c r="AY25" s="67" t="n"/>
      <c r="AZ25" s="67" t="n"/>
      <c r="BA25" s="67" t="n"/>
      <c r="BB25" s="67" t="n"/>
      <c r="BC25" s="67" t="n"/>
      <c r="BD25" s="67" t="n"/>
      <c r="BE25" s="67" t="n"/>
      <c r="BF25" s="67" t="n"/>
      <c r="BG25" s="67" t="n"/>
      <c r="BH25" s="67" t="n"/>
      <c r="BI25" s="67" t="n"/>
      <c r="BJ25" s="67" t="n"/>
      <c r="BK25" s="67" t="n"/>
      <c r="BL25" s="67" t="n"/>
    </row>
    <row r="26">
      <c r="A26" s="81" t="inlineStr">
        <is>
          <t>STRATEGIC</t>
        </is>
      </c>
      <c r="B26" s="32" t="inlineStr">
        <is>
          <t>Strategic Partner Alpha</t>
        </is>
      </c>
      <c r="C26" s="10" t="inlineStr">
        <is>
          <t>AED</t>
        </is>
      </c>
      <c r="D26" s="10">
        <f>IFERROR(INDEX(Payment_Data.$L$6:$L$100,MATCH("STR-001",Payment_Data.$B$6:$B$100,0)),"")</f>
        <v/>
      </c>
      <c r="E26" s="70">
        <f>IFERROR(SUMPRODUCT((Payment_Data.$B$6:$B$100="STR-001")*(Payment_Data.$J$6:$J$100=E$6)*(Payment_Data.$I$6:$I$100)),0)</f>
        <v/>
      </c>
      <c r="F26" s="70">
        <f>IFERROR(SUMPRODUCT((Payment_Data.$B$6:$B$100="STR-001")*(Payment_Data.$J$6:$J$100=F$6)*(Payment_Data.$I$6:$I$100)),0)</f>
        <v/>
      </c>
      <c r="G26" s="70">
        <f>IFERROR(SUMPRODUCT((Payment_Data.$B$6:$B$100="STR-001")*(Payment_Data.$J$6:$J$100=G$6)*(Payment_Data.$I$6:$I$100)),0)</f>
        <v/>
      </c>
      <c r="H26" s="70">
        <f>IFERROR(SUMPRODUCT((Payment_Data.$B$6:$B$100="STR-001")*(Payment_Data.$J$6:$J$100=H$6)*(Payment_Data.$I$6:$I$100)),0)</f>
        <v/>
      </c>
      <c r="I26" s="70">
        <f>IFERROR(SUMPRODUCT((Payment_Data.$B$6:$B$100="STR-001")*(Payment_Data.$J$6:$J$100=I$6)*(Payment_Data.$I$6:$I$100)),0)</f>
        <v/>
      </c>
      <c r="J26" s="71">
        <f>IFERROR(SUMPRODUCT((Payment_Data.$B$6:$B$100="STR-001")*(Payment_Data.$J$6:$J$100=J$6)*(Payment_Data.$I$6:$I$100)),0)</f>
        <v/>
      </c>
      <c r="K26" s="72">
        <f>IFERROR(SUMPRODUCT((Payment_Data.$B$6:$B$100="STR-001")*(Payment_Data.$J$6:$J$100=K$6)*(Payment_Data.$I$6:$I$100)),0)</f>
        <v/>
      </c>
      <c r="L26" s="70">
        <f>IFERROR(SUMPRODUCT((Payment_Data.$B$6:$B$100="STR-001")*(Payment_Data.$J$6:$J$100=L$6)*(Payment_Data.$I$6:$I$100)),0)</f>
        <v/>
      </c>
      <c r="M26" s="70">
        <f>IFERROR(SUMPRODUCT((Payment_Data.$B$6:$B$100="STR-001")*(Payment_Data.$J$6:$J$100=M$6)*(Payment_Data.$I$6:$I$100)),0)</f>
        <v/>
      </c>
      <c r="N26" s="70">
        <f>IFERROR(SUMPRODUCT((Payment_Data.$B$6:$B$100="STR-001")*(Payment_Data.$J$6:$J$100=N$6)*(Payment_Data.$I$6:$I$100)),0)</f>
        <v/>
      </c>
      <c r="O26" s="70">
        <f>IFERROR(SUMPRODUCT((Payment_Data.$B$6:$B$100="STR-001")*(Payment_Data.$J$6:$J$100=O$6)*(Payment_Data.$I$6:$I$100)),0)</f>
        <v/>
      </c>
      <c r="P26" s="70">
        <f>IFERROR(SUMPRODUCT((Payment_Data.$B$6:$B$100="STR-001")*(Payment_Data.$J$6:$J$100=P$6)*(Payment_Data.$I$6:$I$100)),0)</f>
        <v/>
      </c>
      <c r="Q26" s="71">
        <f>IFERROR(SUMPRODUCT((Payment_Data.$B$6:$B$100="STR-001")*(Payment_Data.$J$6:$J$100=Q$6)*(Payment_Data.$I$6:$I$100)),0)</f>
        <v/>
      </c>
      <c r="R26" s="72">
        <f>IFERROR(SUMPRODUCT((Payment_Data.$B$6:$B$100="STR-001")*(Payment_Data.$J$6:$J$100=R$6)*(Payment_Data.$I$6:$I$100)),0)</f>
        <v/>
      </c>
      <c r="S26" s="70">
        <f>IFERROR(SUMPRODUCT((Payment_Data.$B$6:$B$100="STR-001")*(Payment_Data.$J$6:$J$100=S$6)*(Payment_Data.$I$6:$I$100)),0)</f>
        <v/>
      </c>
      <c r="T26" s="70">
        <f>IFERROR(SUMPRODUCT((Payment_Data.$B$6:$B$100="STR-001")*(Payment_Data.$J$6:$J$100=T$6)*(Payment_Data.$I$6:$I$100)),0)</f>
        <v/>
      </c>
      <c r="U26" s="70">
        <f>IFERROR(SUMPRODUCT((Payment_Data.$B$6:$B$100="STR-001")*(Payment_Data.$J$6:$J$100=U$6)*(Payment_Data.$I$6:$I$100)),0)</f>
        <v/>
      </c>
      <c r="V26" s="70">
        <f>IFERROR(SUMPRODUCT((Payment_Data.$B$6:$B$100="STR-001")*(Payment_Data.$J$6:$J$100=V$6)*(Payment_Data.$I$6:$I$100)),0)</f>
        <v/>
      </c>
      <c r="W26" s="70">
        <f>IFERROR(SUMPRODUCT((Payment_Data.$B$6:$B$100="STR-001")*(Payment_Data.$J$6:$J$100=W$6)*(Payment_Data.$I$6:$I$100)),0)</f>
        <v/>
      </c>
      <c r="X26" s="71">
        <f>IFERROR(SUMPRODUCT((Payment_Data.$B$6:$B$100="STR-001")*(Payment_Data.$J$6:$J$100=X$6)*(Payment_Data.$I$6:$I$100)),0)</f>
        <v/>
      </c>
      <c r="Y26" s="72">
        <f>IFERROR(SUMPRODUCT((Payment_Data.$B$6:$B$100="STR-001")*(Payment_Data.$J$6:$J$100=Y$6)*(Payment_Data.$I$6:$I$100)),0)</f>
        <v/>
      </c>
      <c r="Z26" s="70">
        <f>IFERROR(SUMPRODUCT((Payment_Data.$B$6:$B$100="STR-001")*(Payment_Data.$J$6:$J$100=Z$6)*(Payment_Data.$I$6:$I$100)),0)</f>
        <v/>
      </c>
      <c r="AA26" s="70">
        <f>IFERROR(SUMPRODUCT((Payment_Data.$B$6:$B$100="STR-001")*(Payment_Data.$J$6:$J$100=AA$6)*(Payment_Data.$I$6:$I$100)),0)</f>
        <v/>
      </c>
      <c r="AB26" s="70">
        <f>IFERROR(SUMPRODUCT((Payment_Data.$B$6:$B$100="STR-001")*(Payment_Data.$J$6:$J$100=AB$6)*(Payment_Data.$I$6:$I$100)),0)</f>
        <v/>
      </c>
      <c r="AC26" s="70">
        <f>IFERROR(SUMPRODUCT((Payment_Data.$B$6:$B$100="STR-001")*(Payment_Data.$J$6:$J$100=AC$6)*(Payment_Data.$I$6:$I$100)),0)</f>
        <v/>
      </c>
      <c r="AD26" s="70">
        <f>IFERROR(SUMPRODUCT((Payment_Data.$B$6:$B$100="STR-001")*(Payment_Data.$J$6:$J$100=AD$6)*(Payment_Data.$I$6:$I$100)),0)</f>
        <v/>
      </c>
      <c r="AE26" s="71">
        <f>IFERROR(SUMPRODUCT((Payment_Data.$B$6:$B$100="STR-001")*(Payment_Data.$J$6:$J$100=AE$6)*(Payment_Data.$I$6:$I$100)),0)</f>
        <v/>
      </c>
      <c r="AF26" s="72">
        <f>IFERROR(SUMPRODUCT((Payment_Data.$B$6:$B$100="STR-001")*(Payment_Data.$J$6:$J$100=AF$6)*(Payment_Data.$I$6:$I$100)),0)</f>
        <v/>
      </c>
      <c r="AG26" s="70">
        <f>IFERROR(SUMPRODUCT((Payment_Data.$B$6:$B$100="STR-001")*(Payment_Data.$J$6:$J$100=AG$6)*(Payment_Data.$I$6:$I$100)),0)</f>
        <v/>
      </c>
      <c r="AH26" s="70">
        <f>IFERROR(SUMPRODUCT((Payment_Data.$B$6:$B$100="STR-001")*(Payment_Data.$J$6:$J$100=AH$6)*(Payment_Data.$I$6:$I$100)),0)</f>
        <v/>
      </c>
      <c r="AI26" s="70">
        <f>IFERROR(SUMPRODUCT((Payment_Data.$B$6:$B$100="STR-001")*(Payment_Data.$J$6:$J$100=AI$6)*(Payment_Data.$I$6:$I$100)),0)</f>
        <v/>
      </c>
      <c r="AJ26" s="70">
        <f>IFERROR(SUMPRODUCT((Payment_Data.$B$6:$B$100="STR-001")*(Payment_Data.$J$6:$J$100=AJ$6)*(Payment_Data.$I$6:$I$100)),0)</f>
        <v/>
      </c>
      <c r="AK26" s="70">
        <f>IFERROR(SUMPRODUCT((Payment_Data.$B$6:$B$100="STR-001")*(Payment_Data.$J$6:$J$100=AK$6)*(Payment_Data.$I$6:$I$100)),0)</f>
        <v/>
      </c>
      <c r="AL26" s="71">
        <f>IFERROR(SUMPRODUCT((Payment_Data.$B$6:$B$100="STR-001")*(Payment_Data.$J$6:$J$100=AL$6)*(Payment_Data.$I$6:$I$100)),0)</f>
        <v/>
      </c>
      <c r="AM26" s="72">
        <f>IFERROR(SUMPRODUCT((Payment_Data.$B$6:$B$100="STR-001")*(Payment_Data.$J$6:$J$100=AM$6)*(Payment_Data.$I$6:$I$100)),0)</f>
        <v/>
      </c>
      <c r="AN26" s="70">
        <f>IFERROR(SUMPRODUCT((Payment_Data.$B$6:$B$100="STR-001")*(Payment_Data.$J$6:$J$100=AN$6)*(Payment_Data.$I$6:$I$100)),0)</f>
        <v/>
      </c>
      <c r="AO26" s="70">
        <f>IFERROR(SUMPRODUCT((Payment_Data.$B$6:$B$100="STR-001")*(Payment_Data.$J$6:$J$100=AO$6)*(Payment_Data.$I$6:$I$100)),0)</f>
        <v/>
      </c>
      <c r="AP26" s="70">
        <f>IFERROR(SUMPRODUCT((Payment_Data.$B$6:$B$100="STR-001")*(Payment_Data.$J$6:$J$100=AP$6)*(Payment_Data.$I$6:$I$100)),0)</f>
        <v/>
      </c>
      <c r="AQ26" s="70">
        <f>IFERROR(SUMPRODUCT((Payment_Data.$B$6:$B$100="STR-001")*(Payment_Data.$J$6:$J$100=AQ$6)*(Payment_Data.$I$6:$I$100)),0)</f>
        <v/>
      </c>
      <c r="AR26" s="70">
        <f>IFERROR(SUMPRODUCT((Payment_Data.$B$6:$B$100="STR-001")*(Payment_Data.$J$6:$J$100=AR$6)*(Payment_Data.$I$6:$I$100)),0)</f>
        <v/>
      </c>
      <c r="AS26" s="71">
        <f>IFERROR(SUMPRODUCT((Payment_Data.$B$6:$B$100="STR-001")*(Payment_Data.$J$6:$J$100=AS$6)*(Payment_Data.$I$6:$I$100)),0)</f>
        <v/>
      </c>
      <c r="AT26" s="72">
        <f>IFERROR(SUMPRODUCT((Payment_Data.$B$6:$B$100="STR-001")*(Payment_Data.$J$6:$J$100=AT$6)*(Payment_Data.$I$6:$I$100)),0)</f>
        <v/>
      </c>
      <c r="AU26" s="70">
        <f>IFERROR(SUMPRODUCT((Payment_Data.$B$6:$B$100="STR-001")*(Payment_Data.$J$6:$J$100=AU$6)*(Payment_Data.$I$6:$I$100)),0)</f>
        <v/>
      </c>
      <c r="AV26" s="70">
        <f>IFERROR(SUMPRODUCT((Payment_Data.$B$6:$B$100="STR-001")*(Payment_Data.$J$6:$J$100=AV$6)*(Payment_Data.$I$6:$I$100)),0)</f>
        <v/>
      </c>
      <c r="AW26" s="70">
        <f>IFERROR(SUMPRODUCT((Payment_Data.$B$6:$B$100="STR-001")*(Payment_Data.$J$6:$J$100=AW$6)*(Payment_Data.$I$6:$I$100)),0)</f>
        <v/>
      </c>
      <c r="AX26" s="70">
        <f>IFERROR(SUMPRODUCT((Payment_Data.$B$6:$B$100="STR-001")*(Payment_Data.$J$6:$J$100=AX$6)*(Payment_Data.$I$6:$I$100)),0)</f>
        <v/>
      </c>
      <c r="AY26" s="70">
        <f>IFERROR(SUMPRODUCT((Payment_Data.$B$6:$B$100="STR-001")*(Payment_Data.$J$6:$J$100=AY$6)*(Payment_Data.$I$6:$I$100)),0)</f>
        <v/>
      </c>
      <c r="AZ26" s="71">
        <f>IFERROR(SUMPRODUCT((Payment_Data.$B$6:$B$100="STR-001")*(Payment_Data.$J$6:$J$100=AZ$6)*(Payment_Data.$I$6:$I$100)),0)</f>
        <v/>
      </c>
      <c r="BA26" s="72">
        <f>IFERROR(SUMPRODUCT((Payment_Data.$B$6:$B$100="STR-001")*(Payment_Data.$J$6:$J$100=BA$6)*(Payment_Data.$I$6:$I$100)),0)</f>
        <v/>
      </c>
      <c r="BB26" s="70">
        <f>IFERROR(SUMPRODUCT((Payment_Data.$B$6:$B$100="STR-001")*(Payment_Data.$J$6:$J$100=BB$6)*(Payment_Data.$I$6:$I$100)),0)</f>
        <v/>
      </c>
      <c r="BC26" s="70">
        <f>IFERROR(SUMPRODUCT((Payment_Data.$B$6:$B$100="STR-001")*(Payment_Data.$J$6:$J$100=BC$6)*(Payment_Data.$I$6:$I$100)),0)</f>
        <v/>
      </c>
      <c r="BD26" s="70">
        <f>IFERROR(SUMPRODUCT((Payment_Data.$B$6:$B$100="STR-001")*(Payment_Data.$J$6:$J$100=BD$6)*(Payment_Data.$I$6:$I$100)),0)</f>
        <v/>
      </c>
      <c r="BE26" s="70">
        <f>IFERROR(SUMPRODUCT((Payment_Data.$B$6:$B$100="STR-001")*(Payment_Data.$J$6:$J$100=BE$6)*(Payment_Data.$I$6:$I$100)),0)</f>
        <v/>
      </c>
      <c r="BF26" s="70">
        <f>IFERROR(SUMPRODUCT((Payment_Data.$B$6:$B$100="STR-001")*(Payment_Data.$J$6:$J$100=BF$6)*(Payment_Data.$I$6:$I$100)),0)</f>
        <v/>
      </c>
      <c r="BG26" s="71">
        <f>IFERROR(SUMPRODUCT((Payment_Data.$B$6:$B$100="STR-001")*(Payment_Data.$J$6:$J$100=BG$6)*(Payment_Data.$I$6:$I$100)),0)</f>
        <v/>
      </c>
      <c r="BH26" s="72">
        <f>IFERROR(SUMPRODUCT((Payment_Data.$B$6:$B$100="STR-001")*(Payment_Data.$J$6:$J$100=BH$6)*(Payment_Data.$I$6:$I$100)),0)</f>
        <v/>
      </c>
      <c r="BI26" s="70">
        <f>IFERROR(SUMPRODUCT((Payment_Data.$B$6:$B$100="STR-001")*(Payment_Data.$J$6:$J$100=BI$6)*(Payment_Data.$I$6:$I$100)),0)</f>
        <v/>
      </c>
      <c r="BJ26" s="70">
        <f>IFERROR(SUMPRODUCT((Payment_Data.$B$6:$B$100="STR-001")*(Payment_Data.$J$6:$J$100=BJ$6)*(Payment_Data.$I$6:$I$100)),0)</f>
        <v/>
      </c>
      <c r="BK26" s="70">
        <f>IFERROR(SUMPRODUCT((Payment_Data.$B$6:$B$100="STR-001")*(Payment_Data.$J$6:$J$100=BK$6)*(Payment_Data.$I$6:$I$100)),0)</f>
        <v/>
      </c>
      <c r="BL26" s="70">
        <f>IFERROR(SUMPRODUCT((Payment_Data.$B$6:$B$100="STR-001")*(Payment_Data.$J$6:$J$100=BL$6)*(Payment_Data.$I$6:$I$100)),0)</f>
        <v/>
      </c>
    </row>
    <row r="27">
      <c r="A27" s="81" t="inlineStr">
        <is>
          <t>STRATEGIC</t>
        </is>
      </c>
      <c r="B27" s="32" t="inlineStr">
        <is>
          <t>Investment Fund Beta</t>
        </is>
      </c>
      <c r="C27" s="10" t="inlineStr">
        <is>
          <t>GBP</t>
        </is>
      </c>
      <c r="D27" s="10">
        <f>IFERROR(INDEX(Payment_Data.$L$6:$L$100,MATCH("STR-002",Payment_Data.$B$6:$B$100,0)),"")</f>
        <v/>
      </c>
      <c r="E27" s="70">
        <f>IFERROR(SUMPRODUCT((Payment_Data.$B$6:$B$100="STR-002")*(Payment_Data.$J$6:$J$100=E$6)*(Payment_Data.$I$6:$I$100)),0)</f>
        <v/>
      </c>
      <c r="F27" s="70">
        <f>IFERROR(SUMPRODUCT((Payment_Data.$B$6:$B$100="STR-002")*(Payment_Data.$J$6:$J$100=F$6)*(Payment_Data.$I$6:$I$100)),0)</f>
        <v/>
      </c>
      <c r="G27" s="70">
        <f>IFERROR(SUMPRODUCT((Payment_Data.$B$6:$B$100="STR-002")*(Payment_Data.$J$6:$J$100=G$6)*(Payment_Data.$I$6:$I$100)),0)</f>
        <v/>
      </c>
      <c r="H27" s="70">
        <f>IFERROR(SUMPRODUCT((Payment_Data.$B$6:$B$100="STR-002")*(Payment_Data.$J$6:$J$100=H$6)*(Payment_Data.$I$6:$I$100)),0)</f>
        <v/>
      </c>
      <c r="I27" s="70">
        <f>IFERROR(SUMPRODUCT((Payment_Data.$B$6:$B$100="STR-002")*(Payment_Data.$J$6:$J$100=I$6)*(Payment_Data.$I$6:$I$100)),0)</f>
        <v/>
      </c>
      <c r="J27" s="71">
        <f>IFERROR(SUMPRODUCT((Payment_Data.$B$6:$B$100="STR-002")*(Payment_Data.$J$6:$J$100=J$6)*(Payment_Data.$I$6:$I$100)),0)</f>
        <v/>
      </c>
      <c r="K27" s="72">
        <f>IFERROR(SUMPRODUCT((Payment_Data.$B$6:$B$100="STR-002")*(Payment_Data.$J$6:$J$100=K$6)*(Payment_Data.$I$6:$I$100)),0)</f>
        <v/>
      </c>
      <c r="L27" s="70">
        <f>IFERROR(SUMPRODUCT((Payment_Data.$B$6:$B$100="STR-002")*(Payment_Data.$J$6:$J$100=L$6)*(Payment_Data.$I$6:$I$100)),0)</f>
        <v/>
      </c>
      <c r="M27" s="70">
        <f>IFERROR(SUMPRODUCT((Payment_Data.$B$6:$B$100="STR-002")*(Payment_Data.$J$6:$J$100=M$6)*(Payment_Data.$I$6:$I$100)),0)</f>
        <v/>
      </c>
      <c r="N27" s="70">
        <f>IFERROR(SUMPRODUCT((Payment_Data.$B$6:$B$100="STR-002")*(Payment_Data.$J$6:$J$100=N$6)*(Payment_Data.$I$6:$I$100)),0)</f>
        <v/>
      </c>
      <c r="O27" s="70">
        <f>IFERROR(SUMPRODUCT((Payment_Data.$B$6:$B$100="STR-002")*(Payment_Data.$J$6:$J$100=O$6)*(Payment_Data.$I$6:$I$100)),0)</f>
        <v/>
      </c>
      <c r="P27" s="70">
        <f>IFERROR(SUMPRODUCT((Payment_Data.$B$6:$B$100="STR-002")*(Payment_Data.$J$6:$J$100=P$6)*(Payment_Data.$I$6:$I$100)),0)</f>
        <v/>
      </c>
      <c r="Q27" s="71">
        <f>IFERROR(SUMPRODUCT((Payment_Data.$B$6:$B$100="STR-002")*(Payment_Data.$J$6:$J$100=Q$6)*(Payment_Data.$I$6:$I$100)),0)</f>
        <v/>
      </c>
      <c r="R27" s="72">
        <f>IFERROR(SUMPRODUCT((Payment_Data.$B$6:$B$100="STR-002")*(Payment_Data.$J$6:$J$100=R$6)*(Payment_Data.$I$6:$I$100)),0)</f>
        <v/>
      </c>
      <c r="S27" s="70">
        <f>IFERROR(SUMPRODUCT((Payment_Data.$B$6:$B$100="STR-002")*(Payment_Data.$J$6:$J$100=S$6)*(Payment_Data.$I$6:$I$100)),0)</f>
        <v/>
      </c>
      <c r="T27" s="70">
        <f>IFERROR(SUMPRODUCT((Payment_Data.$B$6:$B$100="STR-002")*(Payment_Data.$J$6:$J$100=T$6)*(Payment_Data.$I$6:$I$100)),0)</f>
        <v/>
      </c>
      <c r="U27" s="70">
        <f>IFERROR(SUMPRODUCT((Payment_Data.$B$6:$B$100="STR-002")*(Payment_Data.$J$6:$J$100=U$6)*(Payment_Data.$I$6:$I$100)),0)</f>
        <v/>
      </c>
      <c r="V27" s="70">
        <f>IFERROR(SUMPRODUCT((Payment_Data.$B$6:$B$100="STR-002")*(Payment_Data.$J$6:$J$100=V$6)*(Payment_Data.$I$6:$I$100)),0)</f>
        <v/>
      </c>
      <c r="W27" s="70">
        <f>IFERROR(SUMPRODUCT((Payment_Data.$B$6:$B$100="STR-002")*(Payment_Data.$J$6:$J$100=W$6)*(Payment_Data.$I$6:$I$100)),0)</f>
        <v/>
      </c>
      <c r="X27" s="71">
        <f>IFERROR(SUMPRODUCT((Payment_Data.$B$6:$B$100="STR-002")*(Payment_Data.$J$6:$J$100=X$6)*(Payment_Data.$I$6:$I$100)),0)</f>
        <v/>
      </c>
      <c r="Y27" s="72">
        <f>IFERROR(SUMPRODUCT((Payment_Data.$B$6:$B$100="STR-002")*(Payment_Data.$J$6:$J$100=Y$6)*(Payment_Data.$I$6:$I$100)),0)</f>
        <v/>
      </c>
      <c r="Z27" s="70">
        <f>IFERROR(SUMPRODUCT((Payment_Data.$B$6:$B$100="STR-002")*(Payment_Data.$J$6:$J$100=Z$6)*(Payment_Data.$I$6:$I$100)),0)</f>
        <v/>
      </c>
      <c r="AA27" s="70">
        <f>IFERROR(SUMPRODUCT((Payment_Data.$B$6:$B$100="STR-002")*(Payment_Data.$J$6:$J$100=AA$6)*(Payment_Data.$I$6:$I$100)),0)</f>
        <v/>
      </c>
      <c r="AB27" s="70">
        <f>IFERROR(SUMPRODUCT((Payment_Data.$B$6:$B$100="STR-002")*(Payment_Data.$J$6:$J$100=AB$6)*(Payment_Data.$I$6:$I$100)),0)</f>
        <v/>
      </c>
      <c r="AC27" s="70">
        <f>IFERROR(SUMPRODUCT((Payment_Data.$B$6:$B$100="STR-002")*(Payment_Data.$J$6:$J$100=AC$6)*(Payment_Data.$I$6:$I$100)),0)</f>
        <v/>
      </c>
      <c r="AD27" s="70">
        <f>IFERROR(SUMPRODUCT((Payment_Data.$B$6:$B$100="STR-002")*(Payment_Data.$J$6:$J$100=AD$6)*(Payment_Data.$I$6:$I$100)),0)</f>
        <v/>
      </c>
      <c r="AE27" s="71">
        <f>IFERROR(SUMPRODUCT((Payment_Data.$B$6:$B$100="STR-002")*(Payment_Data.$J$6:$J$100=AE$6)*(Payment_Data.$I$6:$I$100)),0)</f>
        <v/>
      </c>
      <c r="AF27" s="72">
        <f>IFERROR(SUMPRODUCT((Payment_Data.$B$6:$B$100="STR-002")*(Payment_Data.$J$6:$J$100=AF$6)*(Payment_Data.$I$6:$I$100)),0)</f>
        <v/>
      </c>
      <c r="AG27" s="70">
        <f>IFERROR(SUMPRODUCT((Payment_Data.$B$6:$B$100="STR-002")*(Payment_Data.$J$6:$J$100=AG$6)*(Payment_Data.$I$6:$I$100)),0)</f>
        <v/>
      </c>
      <c r="AH27" s="70">
        <f>IFERROR(SUMPRODUCT((Payment_Data.$B$6:$B$100="STR-002")*(Payment_Data.$J$6:$J$100=AH$6)*(Payment_Data.$I$6:$I$100)),0)</f>
        <v/>
      </c>
      <c r="AI27" s="70">
        <f>IFERROR(SUMPRODUCT((Payment_Data.$B$6:$B$100="STR-002")*(Payment_Data.$J$6:$J$100=AI$6)*(Payment_Data.$I$6:$I$100)),0)</f>
        <v/>
      </c>
      <c r="AJ27" s="70">
        <f>IFERROR(SUMPRODUCT((Payment_Data.$B$6:$B$100="STR-002")*(Payment_Data.$J$6:$J$100=AJ$6)*(Payment_Data.$I$6:$I$100)),0)</f>
        <v/>
      </c>
      <c r="AK27" s="70">
        <f>IFERROR(SUMPRODUCT((Payment_Data.$B$6:$B$100="STR-002")*(Payment_Data.$J$6:$J$100=AK$6)*(Payment_Data.$I$6:$I$100)),0)</f>
        <v/>
      </c>
      <c r="AL27" s="71">
        <f>IFERROR(SUMPRODUCT((Payment_Data.$B$6:$B$100="STR-002")*(Payment_Data.$J$6:$J$100=AL$6)*(Payment_Data.$I$6:$I$100)),0)</f>
        <v/>
      </c>
      <c r="AM27" s="72">
        <f>IFERROR(SUMPRODUCT((Payment_Data.$B$6:$B$100="STR-002")*(Payment_Data.$J$6:$J$100=AM$6)*(Payment_Data.$I$6:$I$100)),0)</f>
        <v/>
      </c>
      <c r="AN27" s="70">
        <f>IFERROR(SUMPRODUCT((Payment_Data.$B$6:$B$100="STR-002")*(Payment_Data.$J$6:$J$100=AN$6)*(Payment_Data.$I$6:$I$100)),0)</f>
        <v/>
      </c>
      <c r="AO27" s="70">
        <f>IFERROR(SUMPRODUCT((Payment_Data.$B$6:$B$100="STR-002")*(Payment_Data.$J$6:$J$100=AO$6)*(Payment_Data.$I$6:$I$100)),0)</f>
        <v/>
      </c>
      <c r="AP27" s="70">
        <f>IFERROR(SUMPRODUCT((Payment_Data.$B$6:$B$100="STR-002")*(Payment_Data.$J$6:$J$100=AP$6)*(Payment_Data.$I$6:$I$100)),0)</f>
        <v/>
      </c>
      <c r="AQ27" s="70">
        <f>IFERROR(SUMPRODUCT((Payment_Data.$B$6:$B$100="STR-002")*(Payment_Data.$J$6:$J$100=AQ$6)*(Payment_Data.$I$6:$I$100)),0)</f>
        <v/>
      </c>
      <c r="AR27" s="70">
        <f>IFERROR(SUMPRODUCT((Payment_Data.$B$6:$B$100="STR-002")*(Payment_Data.$J$6:$J$100=AR$6)*(Payment_Data.$I$6:$I$100)),0)</f>
        <v/>
      </c>
      <c r="AS27" s="71">
        <f>IFERROR(SUMPRODUCT((Payment_Data.$B$6:$B$100="STR-002")*(Payment_Data.$J$6:$J$100=AS$6)*(Payment_Data.$I$6:$I$100)),0)</f>
        <v/>
      </c>
      <c r="AT27" s="72">
        <f>IFERROR(SUMPRODUCT((Payment_Data.$B$6:$B$100="STR-002")*(Payment_Data.$J$6:$J$100=AT$6)*(Payment_Data.$I$6:$I$100)),0)</f>
        <v/>
      </c>
      <c r="AU27" s="70">
        <f>IFERROR(SUMPRODUCT((Payment_Data.$B$6:$B$100="STR-002")*(Payment_Data.$J$6:$J$100=AU$6)*(Payment_Data.$I$6:$I$100)),0)</f>
        <v/>
      </c>
      <c r="AV27" s="70">
        <f>IFERROR(SUMPRODUCT((Payment_Data.$B$6:$B$100="STR-002")*(Payment_Data.$J$6:$J$100=AV$6)*(Payment_Data.$I$6:$I$100)),0)</f>
        <v/>
      </c>
      <c r="AW27" s="70">
        <f>IFERROR(SUMPRODUCT((Payment_Data.$B$6:$B$100="STR-002")*(Payment_Data.$J$6:$J$100=AW$6)*(Payment_Data.$I$6:$I$100)),0)</f>
        <v/>
      </c>
      <c r="AX27" s="70">
        <f>IFERROR(SUMPRODUCT((Payment_Data.$B$6:$B$100="STR-002")*(Payment_Data.$J$6:$J$100=AX$6)*(Payment_Data.$I$6:$I$100)),0)</f>
        <v/>
      </c>
      <c r="AY27" s="70">
        <f>IFERROR(SUMPRODUCT((Payment_Data.$B$6:$B$100="STR-002")*(Payment_Data.$J$6:$J$100=AY$6)*(Payment_Data.$I$6:$I$100)),0)</f>
        <v/>
      </c>
      <c r="AZ27" s="71">
        <f>IFERROR(SUMPRODUCT((Payment_Data.$B$6:$B$100="STR-002")*(Payment_Data.$J$6:$J$100=AZ$6)*(Payment_Data.$I$6:$I$100)),0)</f>
        <v/>
      </c>
      <c r="BA27" s="72">
        <f>IFERROR(SUMPRODUCT((Payment_Data.$B$6:$B$100="STR-002")*(Payment_Data.$J$6:$J$100=BA$6)*(Payment_Data.$I$6:$I$100)),0)</f>
        <v/>
      </c>
      <c r="BB27" s="70">
        <f>IFERROR(SUMPRODUCT((Payment_Data.$B$6:$B$100="STR-002")*(Payment_Data.$J$6:$J$100=BB$6)*(Payment_Data.$I$6:$I$100)),0)</f>
        <v/>
      </c>
      <c r="BC27" s="70">
        <f>IFERROR(SUMPRODUCT((Payment_Data.$B$6:$B$100="STR-002")*(Payment_Data.$J$6:$J$100=BC$6)*(Payment_Data.$I$6:$I$100)),0)</f>
        <v/>
      </c>
      <c r="BD27" s="70">
        <f>IFERROR(SUMPRODUCT((Payment_Data.$B$6:$B$100="STR-002")*(Payment_Data.$J$6:$J$100=BD$6)*(Payment_Data.$I$6:$I$100)),0)</f>
        <v/>
      </c>
      <c r="BE27" s="70">
        <f>IFERROR(SUMPRODUCT((Payment_Data.$B$6:$B$100="STR-002")*(Payment_Data.$J$6:$J$100=BE$6)*(Payment_Data.$I$6:$I$100)),0)</f>
        <v/>
      </c>
      <c r="BF27" s="70">
        <f>IFERROR(SUMPRODUCT((Payment_Data.$B$6:$B$100="STR-002")*(Payment_Data.$J$6:$J$100=BF$6)*(Payment_Data.$I$6:$I$100)),0)</f>
        <v/>
      </c>
      <c r="BG27" s="71">
        <f>IFERROR(SUMPRODUCT((Payment_Data.$B$6:$B$100="STR-002")*(Payment_Data.$J$6:$J$100=BG$6)*(Payment_Data.$I$6:$I$100)),0)</f>
        <v/>
      </c>
      <c r="BH27" s="72">
        <f>IFERROR(SUMPRODUCT((Payment_Data.$B$6:$B$100="STR-002")*(Payment_Data.$J$6:$J$100=BH$6)*(Payment_Data.$I$6:$I$100)),0)</f>
        <v/>
      </c>
      <c r="BI27" s="70">
        <f>IFERROR(SUMPRODUCT((Payment_Data.$B$6:$B$100="STR-002")*(Payment_Data.$J$6:$J$100=BI$6)*(Payment_Data.$I$6:$I$100)),0)</f>
        <v/>
      </c>
      <c r="BJ27" s="70">
        <f>IFERROR(SUMPRODUCT((Payment_Data.$B$6:$B$100="STR-002")*(Payment_Data.$J$6:$J$100=BJ$6)*(Payment_Data.$I$6:$I$100)),0)</f>
        <v/>
      </c>
      <c r="BK27" s="70">
        <f>IFERROR(SUMPRODUCT((Payment_Data.$B$6:$B$100="STR-002")*(Payment_Data.$J$6:$J$100=BK$6)*(Payment_Data.$I$6:$I$100)),0)</f>
        <v/>
      </c>
      <c r="BL27" s="70">
        <f>IFERROR(SUMPRODUCT((Payment_Data.$B$6:$B$100="STR-002")*(Payment_Data.$J$6:$J$100=BL$6)*(Payment_Data.$I$6:$I$100)),0)</f>
        <v/>
      </c>
    </row>
    <row r="28">
      <c r="A28" s="81" t="inlineStr">
        <is>
          <t>STRATEGIC</t>
        </is>
      </c>
      <c r="B28" s="32" t="inlineStr">
        <is>
          <t>JV Company Gamma</t>
        </is>
      </c>
      <c r="C28" s="10" t="inlineStr">
        <is>
          <t>SGD</t>
        </is>
      </c>
      <c r="D28" s="10">
        <f>IFERROR(INDEX(Payment_Data.$L$6:$L$100,MATCH("STR-003",Payment_Data.$B$6:$B$100,0)),"")</f>
        <v/>
      </c>
      <c r="E28" s="70">
        <f>IFERROR(SUMPRODUCT((Payment_Data.$B$6:$B$100="STR-003")*(Payment_Data.$J$6:$J$100=E$6)*(Payment_Data.$I$6:$I$100)),0)</f>
        <v/>
      </c>
      <c r="F28" s="70">
        <f>IFERROR(SUMPRODUCT((Payment_Data.$B$6:$B$100="STR-003")*(Payment_Data.$J$6:$J$100=F$6)*(Payment_Data.$I$6:$I$100)),0)</f>
        <v/>
      </c>
      <c r="G28" s="70">
        <f>IFERROR(SUMPRODUCT((Payment_Data.$B$6:$B$100="STR-003")*(Payment_Data.$J$6:$J$100=G$6)*(Payment_Data.$I$6:$I$100)),0)</f>
        <v/>
      </c>
      <c r="H28" s="70">
        <f>IFERROR(SUMPRODUCT((Payment_Data.$B$6:$B$100="STR-003")*(Payment_Data.$J$6:$J$100=H$6)*(Payment_Data.$I$6:$I$100)),0)</f>
        <v/>
      </c>
      <c r="I28" s="70">
        <f>IFERROR(SUMPRODUCT((Payment_Data.$B$6:$B$100="STR-003")*(Payment_Data.$J$6:$J$100=I$6)*(Payment_Data.$I$6:$I$100)),0)</f>
        <v/>
      </c>
      <c r="J28" s="71">
        <f>IFERROR(SUMPRODUCT((Payment_Data.$B$6:$B$100="STR-003")*(Payment_Data.$J$6:$J$100=J$6)*(Payment_Data.$I$6:$I$100)),0)</f>
        <v/>
      </c>
      <c r="K28" s="72">
        <f>IFERROR(SUMPRODUCT((Payment_Data.$B$6:$B$100="STR-003")*(Payment_Data.$J$6:$J$100=K$6)*(Payment_Data.$I$6:$I$100)),0)</f>
        <v/>
      </c>
      <c r="L28" s="70">
        <f>IFERROR(SUMPRODUCT((Payment_Data.$B$6:$B$100="STR-003")*(Payment_Data.$J$6:$J$100=L$6)*(Payment_Data.$I$6:$I$100)),0)</f>
        <v/>
      </c>
      <c r="M28" s="70">
        <f>IFERROR(SUMPRODUCT((Payment_Data.$B$6:$B$100="STR-003")*(Payment_Data.$J$6:$J$100=M$6)*(Payment_Data.$I$6:$I$100)),0)</f>
        <v/>
      </c>
      <c r="N28" s="70">
        <f>IFERROR(SUMPRODUCT((Payment_Data.$B$6:$B$100="STR-003")*(Payment_Data.$J$6:$J$100=N$6)*(Payment_Data.$I$6:$I$100)),0)</f>
        <v/>
      </c>
      <c r="O28" s="70">
        <f>IFERROR(SUMPRODUCT((Payment_Data.$B$6:$B$100="STR-003")*(Payment_Data.$J$6:$J$100=O$6)*(Payment_Data.$I$6:$I$100)),0)</f>
        <v/>
      </c>
      <c r="P28" s="70">
        <f>IFERROR(SUMPRODUCT((Payment_Data.$B$6:$B$100="STR-003")*(Payment_Data.$J$6:$J$100=P$6)*(Payment_Data.$I$6:$I$100)),0)</f>
        <v/>
      </c>
      <c r="Q28" s="71">
        <f>IFERROR(SUMPRODUCT((Payment_Data.$B$6:$B$100="STR-003")*(Payment_Data.$J$6:$J$100=Q$6)*(Payment_Data.$I$6:$I$100)),0)</f>
        <v/>
      </c>
      <c r="R28" s="72">
        <f>IFERROR(SUMPRODUCT((Payment_Data.$B$6:$B$100="STR-003")*(Payment_Data.$J$6:$J$100=R$6)*(Payment_Data.$I$6:$I$100)),0)</f>
        <v/>
      </c>
      <c r="S28" s="70">
        <f>IFERROR(SUMPRODUCT((Payment_Data.$B$6:$B$100="STR-003")*(Payment_Data.$J$6:$J$100=S$6)*(Payment_Data.$I$6:$I$100)),0)</f>
        <v/>
      </c>
      <c r="T28" s="70">
        <f>IFERROR(SUMPRODUCT((Payment_Data.$B$6:$B$100="STR-003")*(Payment_Data.$J$6:$J$100=T$6)*(Payment_Data.$I$6:$I$100)),0)</f>
        <v/>
      </c>
      <c r="U28" s="70">
        <f>IFERROR(SUMPRODUCT((Payment_Data.$B$6:$B$100="STR-003")*(Payment_Data.$J$6:$J$100=U$6)*(Payment_Data.$I$6:$I$100)),0)</f>
        <v/>
      </c>
      <c r="V28" s="70">
        <f>IFERROR(SUMPRODUCT((Payment_Data.$B$6:$B$100="STR-003")*(Payment_Data.$J$6:$J$100=V$6)*(Payment_Data.$I$6:$I$100)),0)</f>
        <v/>
      </c>
      <c r="W28" s="70">
        <f>IFERROR(SUMPRODUCT((Payment_Data.$B$6:$B$100="STR-003")*(Payment_Data.$J$6:$J$100=W$6)*(Payment_Data.$I$6:$I$100)),0)</f>
        <v/>
      </c>
      <c r="X28" s="71">
        <f>IFERROR(SUMPRODUCT((Payment_Data.$B$6:$B$100="STR-003")*(Payment_Data.$J$6:$J$100=X$6)*(Payment_Data.$I$6:$I$100)),0)</f>
        <v/>
      </c>
      <c r="Y28" s="72">
        <f>IFERROR(SUMPRODUCT((Payment_Data.$B$6:$B$100="STR-003")*(Payment_Data.$J$6:$J$100=Y$6)*(Payment_Data.$I$6:$I$100)),0)</f>
        <v/>
      </c>
      <c r="Z28" s="70">
        <f>IFERROR(SUMPRODUCT((Payment_Data.$B$6:$B$100="STR-003")*(Payment_Data.$J$6:$J$100=Z$6)*(Payment_Data.$I$6:$I$100)),0)</f>
        <v/>
      </c>
      <c r="AA28" s="70">
        <f>IFERROR(SUMPRODUCT((Payment_Data.$B$6:$B$100="STR-003")*(Payment_Data.$J$6:$J$100=AA$6)*(Payment_Data.$I$6:$I$100)),0)</f>
        <v/>
      </c>
      <c r="AB28" s="70">
        <f>IFERROR(SUMPRODUCT((Payment_Data.$B$6:$B$100="STR-003")*(Payment_Data.$J$6:$J$100=AB$6)*(Payment_Data.$I$6:$I$100)),0)</f>
        <v/>
      </c>
      <c r="AC28" s="70">
        <f>IFERROR(SUMPRODUCT((Payment_Data.$B$6:$B$100="STR-003")*(Payment_Data.$J$6:$J$100=AC$6)*(Payment_Data.$I$6:$I$100)),0)</f>
        <v/>
      </c>
      <c r="AD28" s="70">
        <f>IFERROR(SUMPRODUCT((Payment_Data.$B$6:$B$100="STR-003")*(Payment_Data.$J$6:$J$100=AD$6)*(Payment_Data.$I$6:$I$100)),0)</f>
        <v/>
      </c>
      <c r="AE28" s="71">
        <f>IFERROR(SUMPRODUCT((Payment_Data.$B$6:$B$100="STR-003")*(Payment_Data.$J$6:$J$100=AE$6)*(Payment_Data.$I$6:$I$100)),0)</f>
        <v/>
      </c>
      <c r="AF28" s="72">
        <f>IFERROR(SUMPRODUCT((Payment_Data.$B$6:$B$100="STR-003")*(Payment_Data.$J$6:$J$100=AF$6)*(Payment_Data.$I$6:$I$100)),0)</f>
        <v/>
      </c>
      <c r="AG28" s="70">
        <f>IFERROR(SUMPRODUCT((Payment_Data.$B$6:$B$100="STR-003")*(Payment_Data.$J$6:$J$100=AG$6)*(Payment_Data.$I$6:$I$100)),0)</f>
        <v/>
      </c>
      <c r="AH28" s="70">
        <f>IFERROR(SUMPRODUCT((Payment_Data.$B$6:$B$100="STR-003")*(Payment_Data.$J$6:$J$100=AH$6)*(Payment_Data.$I$6:$I$100)),0)</f>
        <v/>
      </c>
      <c r="AI28" s="70">
        <f>IFERROR(SUMPRODUCT((Payment_Data.$B$6:$B$100="STR-003")*(Payment_Data.$J$6:$J$100=AI$6)*(Payment_Data.$I$6:$I$100)),0)</f>
        <v/>
      </c>
      <c r="AJ28" s="70">
        <f>IFERROR(SUMPRODUCT((Payment_Data.$B$6:$B$100="STR-003")*(Payment_Data.$J$6:$J$100=AJ$6)*(Payment_Data.$I$6:$I$100)),0)</f>
        <v/>
      </c>
      <c r="AK28" s="70">
        <f>IFERROR(SUMPRODUCT((Payment_Data.$B$6:$B$100="STR-003")*(Payment_Data.$J$6:$J$100=AK$6)*(Payment_Data.$I$6:$I$100)),0)</f>
        <v/>
      </c>
      <c r="AL28" s="71">
        <f>IFERROR(SUMPRODUCT((Payment_Data.$B$6:$B$100="STR-003")*(Payment_Data.$J$6:$J$100=AL$6)*(Payment_Data.$I$6:$I$100)),0)</f>
        <v/>
      </c>
      <c r="AM28" s="72">
        <f>IFERROR(SUMPRODUCT((Payment_Data.$B$6:$B$100="STR-003")*(Payment_Data.$J$6:$J$100=AM$6)*(Payment_Data.$I$6:$I$100)),0)</f>
        <v/>
      </c>
      <c r="AN28" s="70">
        <f>IFERROR(SUMPRODUCT((Payment_Data.$B$6:$B$100="STR-003")*(Payment_Data.$J$6:$J$100=AN$6)*(Payment_Data.$I$6:$I$100)),0)</f>
        <v/>
      </c>
      <c r="AO28" s="70">
        <f>IFERROR(SUMPRODUCT((Payment_Data.$B$6:$B$100="STR-003")*(Payment_Data.$J$6:$J$100=AO$6)*(Payment_Data.$I$6:$I$100)),0)</f>
        <v/>
      </c>
      <c r="AP28" s="70">
        <f>IFERROR(SUMPRODUCT((Payment_Data.$B$6:$B$100="STR-003")*(Payment_Data.$J$6:$J$100=AP$6)*(Payment_Data.$I$6:$I$100)),0)</f>
        <v/>
      </c>
      <c r="AQ28" s="70">
        <f>IFERROR(SUMPRODUCT((Payment_Data.$B$6:$B$100="STR-003")*(Payment_Data.$J$6:$J$100=AQ$6)*(Payment_Data.$I$6:$I$100)),0)</f>
        <v/>
      </c>
      <c r="AR28" s="70">
        <f>IFERROR(SUMPRODUCT((Payment_Data.$B$6:$B$100="STR-003")*(Payment_Data.$J$6:$J$100=AR$6)*(Payment_Data.$I$6:$I$100)),0)</f>
        <v/>
      </c>
      <c r="AS28" s="71">
        <f>IFERROR(SUMPRODUCT((Payment_Data.$B$6:$B$100="STR-003")*(Payment_Data.$J$6:$J$100=AS$6)*(Payment_Data.$I$6:$I$100)),0)</f>
        <v/>
      </c>
      <c r="AT28" s="72">
        <f>IFERROR(SUMPRODUCT((Payment_Data.$B$6:$B$100="STR-003")*(Payment_Data.$J$6:$J$100=AT$6)*(Payment_Data.$I$6:$I$100)),0)</f>
        <v/>
      </c>
      <c r="AU28" s="70">
        <f>IFERROR(SUMPRODUCT((Payment_Data.$B$6:$B$100="STR-003")*(Payment_Data.$J$6:$J$100=AU$6)*(Payment_Data.$I$6:$I$100)),0)</f>
        <v/>
      </c>
      <c r="AV28" s="70">
        <f>IFERROR(SUMPRODUCT((Payment_Data.$B$6:$B$100="STR-003")*(Payment_Data.$J$6:$J$100=AV$6)*(Payment_Data.$I$6:$I$100)),0)</f>
        <v/>
      </c>
      <c r="AW28" s="70">
        <f>IFERROR(SUMPRODUCT((Payment_Data.$B$6:$B$100="STR-003")*(Payment_Data.$J$6:$J$100=AW$6)*(Payment_Data.$I$6:$I$100)),0)</f>
        <v/>
      </c>
      <c r="AX28" s="70">
        <f>IFERROR(SUMPRODUCT((Payment_Data.$B$6:$B$100="STR-003")*(Payment_Data.$J$6:$J$100=AX$6)*(Payment_Data.$I$6:$I$100)),0)</f>
        <v/>
      </c>
      <c r="AY28" s="70">
        <f>IFERROR(SUMPRODUCT((Payment_Data.$B$6:$B$100="STR-003")*(Payment_Data.$J$6:$J$100=AY$6)*(Payment_Data.$I$6:$I$100)),0)</f>
        <v/>
      </c>
      <c r="AZ28" s="71">
        <f>IFERROR(SUMPRODUCT((Payment_Data.$B$6:$B$100="STR-003")*(Payment_Data.$J$6:$J$100=AZ$6)*(Payment_Data.$I$6:$I$100)),0)</f>
        <v/>
      </c>
      <c r="BA28" s="72">
        <f>IFERROR(SUMPRODUCT((Payment_Data.$B$6:$B$100="STR-003")*(Payment_Data.$J$6:$J$100=BA$6)*(Payment_Data.$I$6:$I$100)),0)</f>
        <v/>
      </c>
      <c r="BB28" s="70">
        <f>IFERROR(SUMPRODUCT((Payment_Data.$B$6:$B$100="STR-003")*(Payment_Data.$J$6:$J$100=BB$6)*(Payment_Data.$I$6:$I$100)),0)</f>
        <v/>
      </c>
      <c r="BC28" s="70">
        <f>IFERROR(SUMPRODUCT((Payment_Data.$B$6:$B$100="STR-003")*(Payment_Data.$J$6:$J$100=BC$6)*(Payment_Data.$I$6:$I$100)),0)</f>
        <v/>
      </c>
      <c r="BD28" s="70">
        <f>IFERROR(SUMPRODUCT((Payment_Data.$B$6:$B$100="STR-003")*(Payment_Data.$J$6:$J$100=BD$6)*(Payment_Data.$I$6:$I$100)),0)</f>
        <v/>
      </c>
      <c r="BE28" s="70">
        <f>IFERROR(SUMPRODUCT((Payment_Data.$B$6:$B$100="STR-003")*(Payment_Data.$J$6:$J$100=BE$6)*(Payment_Data.$I$6:$I$100)),0)</f>
        <v/>
      </c>
      <c r="BF28" s="70">
        <f>IFERROR(SUMPRODUCT((Payment_Data.$B$6:$B$100="STR-003")*(Payment_Data.$J$6:$J$100=BF$6)*(Payment_Data.$I$6:$I$100)),0)</f>
        <v/>
      </c>
      <c r="BG28" s="71">
        <f>IFERROR(SUMPRODUCT((Payment_Data.$B$6:$B$100="STR-003")*(Payment_Data.$J$6:$J$100=BG$6)*(Payment_Data.$I$6:$I$100)),0)</f>
        <v/>
      </c>
      <c r="BH28" s="72">
        <f>IFERROR(SUMPRODUCT((Payment_Data.$B$6:$B$100="STR-003")*(Payment_Data.$J$6:$J$100=BH$6)*(Payment_Data.$I$6:$I$100)),0)</f>
        <v/>
      </c>
      <c r="BI28" s="70">
        <f>IFERROR(SUMPRODUCT((Payment_Data.$B$6:$B$100="STR-003")*(Payment_Data.$J$6:$J$100=BI$6)*(Payment_Data.$I$6:$I$100)),0)</f>
        <v/>
      </c>
      <c r="BJ28" s="70">
        <f>IFERROR(SUMPRODUCT((Payment_Data.$B$6:$B$100="STR-003")*(Payment_Data.$J$6:$J$100=BJ$6)*(Payment_Data.$I$6:$I$100)),0)</f>
        <v/>
      </c>
      <c r="BK28" s="70">
        <f>IFERROR(SUMPRODUCT((Payment_Data.$B$6:$B$100="STR-003")*(Payment_Data.$J$6:$J$100=BK$6)*(Payment_Data.$I$6:$I$100)),0)</f>
        <v/>
      </c>
      <c r="BL28" s="70">
        <f>IFERROR(SUMPRODUCT((Payment_Data.$B$6:$B$100="STR-003")*(Payment_Data.$J$6:$J$100=BL$6)*(Payment_Data.$I$6:$I$100)),0)</f>
        <v/>
      </c>
    </row>
    <row r="29">
      <c r="A29" s="81" t="inlineStr">
        <is>
          <t>STRATEGIC</t>
        </is>
      </c>
      <c r="B29" s="32" t="inlineStr">
        <is>
          <t>Acquisition Target Delta</t>
        </is>
      </c>
      <c r="C29" s="10" t="inlineStr">
        <is>
          <t>EUR</t>
        </is>
      </c>
      <c r="D29" s="10">
        <f>IFERROR(INDEX(Payment_Data.$L$6:$L$100,MATCH("STR-004",Payment_Data.$B$6:$B$100,0)),"")</f>
        <v/>
      </c>
      <c r="E29" s="70">
        <f>IFERROR(SUMPRODUCT((Payment_Data.$B$6:$B$100="STR-004")*(Payment_Data.$J$6:$J$100=E$6)*(Payment_Data.$I$6:$I$100)),0)</f>
        <v/>
      </c>
      <c r="F29" s="70">
        <f>IFERROR(SUMPRODUCT((Payment_Data.$B$6:$B$100="STR-004")*(Payment_Data.$J$6:$J$100=F$6)*(Payment_Data.$I$6:$I$100)),0)</f>
        <v/>
      </c>
      <c r="G29" s="70">
        <f>IFERROR(SUMPRODUCT((Payment_Data.$B$6:$B$100="STR-004")*(Payment_Data.$J$6:$J$100=G$6)*(Payment_Data.$I$6:$I$100)),0)</f>
        <v/>
      </c>
      <c r="H29" s="70">
        <f>IFERROR(SUMPRODUCT((Payment_Data.$B$6:$B$100="STR-004")*(Payment_Data.$J$6:$J$100=H$6)*(Payment_Data.$I$6:$I$100)),0)</f>
        <v/>
      </c>
      <c r="I29" s="70">
        <f>IFERROR(SUMPRODUCT((Payment_Data.$B$6:$B$100="STR-004")*(Payment_Data.$J$6:$J$100=I$6)*(Payment_Data.$I$6:$I$100)),0)</f>
        <v/>
      </c>
      <c r="J29" s="71">
        <f>IFERROR(SUMPRODUCT((Payment_Data.$B$6:$B$100="STR-004")*(Payment_Data.$J$6:$J$100=J$6)*(Payment_Data.$I$6:$I$100)),0)</f>
        <v/>
      </c>
      <c r="K29" s="72">
        <f>IFERROR(SUMPRODUCT((Payment_Data.$B$6:$B$100="STR-004")*(Payment_Data.$J$6:$J$100=K$6)*(Payment_Data.$I$6:$I$100)),0)</f>
        <v/>
      </c>
      <c r="L29" s="70">
        <f>IFERROR(SUMPRODUCT((Payment_Data.$B$6:$B$100="STR-004")*(Payment_Data.$J$6:$J$100=L$6)*(Payment_Data.$I$6:$I$100)),0)</f>
        <v/>
      </c>
      <c r="M29" s="70">
        <f>IFERROR(SUMPRODUCT((Payment_Data.$B$6:$B$100="STR-004")*(Payment_Data.$J$6:$J$100=M$6)*(Payment_Data.$I$6:$I$100)),0)</f>
        <v/>
      </c>
      <c r="N29" s="70">
        <f>IFERROR(SUMPRODUCT((Payment_Data.$B$6:$B$100="STR-004")*(Payment_Data.$J$6:$J$100=N$6)*(Payment_Data.$I$6:$I$100)),0)</f>
        <v/>
      </c>
      <c r="O29" s="70">
        <f>IFERROR(SUMPRODUCT((Payment_Data.$B$6:$B$100="STR-004")*(Payment_Data.$J$6:$J$100=O$6)*(Payment_Data.$I$6:$I$100)),0)</f>
        <v/>
      </c>
      <c r="P29" s="70">
        <f>IFERROR(SUMPRODUCT((Payment_Data.$B$6:$B$100="STR-004")*(Payment_Data.$J$6:$J$100=P$6)*(Payment_Data.$I$6:$I$100)),0)</f>
        <v/>
      </c>
      <c r="Q29" s="71">
        <f>IFERROR(SUMPRODUCT((Payment_Data.$B$6:$B$100="STR-004")*(Payment_Data.$J$6:$J$100=Q$6)*(Payment_Data.$I$6:$I$100)),0)</f>
        <v/>
      </c>
      <c r="R29" s="72">
        <f>IFERROR(SUMPRODUCT((Payment_Data.$B$6:$B$100="STR-004")*(Payment_Data.$J$6:$J$100=R$6)*(Payment_Data.$I$6:$I$100)),0)</f>
        <v/>
      </c>
      <c r="S29" s="70">
        <f>IFERROR(SUMPRODUCT((Payment_Data.$B$6:$B$100="STR-004")*(Payment_Data.$J$6:$J$100=S$6)*(Payment_Data.$I$6:$I$100)),0)</f>
        <v/>
      </c>
      <c r="T29" s="70">
        <f>IFERROR(SUMPRODUCT((Payment_Data.$B$6:$B$100="STR-004")*(Payment_Data.$J$6:$J$100=T$6)*(Payment_Data.$I$6:$I$100)),0)</f>
        <v/>
      </c>
      <c r="U29" s="70">
        <f>IFERROR(SUMPRODUCT((Payment_Data.$B$6:$B$100="STR-004")*(Payment_Data.$J$6:$J$100=U$6)*(Payment_Data.$I$6:$I$100)),0)</f>
        <v/>
      </c>
      <c r="V29" s="70">
        <f>IFERROR(SUMPRODUCT((Payment_Data.$B$6:$B$100="STR-004")*(Payment_Data.$J$6:$J$100=V$6)*(Payment_Data.$I$6:$I$100)),0)</f>
        <v/>
      </c>
      <c r="W29" s="70">
        <f>IFERROR(SUMPRODUCT((Payment_Data.$B$6:$B$100="STR-004")*(Payment_Data.$J$6:$J$100=W$6)*(Payment_Data.$I$6:$I$100)),0)</f>
        <v/>
      </c>
      <c r="X29" s="71">
        <f>IFERROR(SUMPRODUCT((Payment_Data.$B$6:$B$100="STR-004")*(Payment_Data.$J$6:$J$100=X$6)*(Payment_Data.$I$6:$I$100)),0)</f>
        <v/>
      </c>
      <c r="Y29" s="72">
        <f>IFERROR(SUMPRODUCT((Payment_Data.$B$6:$B$100="STR-004")*(Payment_Data.$J$6:$J$100=Y$6)*(Payment_Data.$I$6:$I$100)),0)</f>
        <v/>
      </c>
      <c r="Z29" s="70">
        <f>IFERROR(SUMPRODUCT((Payment_Data.$B$6:$B$100="STR-004")*(Payment_Data.$J$6:$J$100=Z$6)*(Payment_Data.$I$6:$I$100)),0)</f>
        <v/>
      </c>
      <c r="AA29" s="70">
        <f>IFERROR(SUMPRODUCT((Payment_Data.$B$6:$B$100="STR-004")*(Payment_Data.$J$6:$J$100=AA$6)*(Payment_Data.$I$6:$I$100)),0)</f>
        <v/>
      </c>
      <c r="AB29" s="70">
        <f>IFERROR(SUMPRODUCT((Payment_Data.$B$6:$B$100="STR-004")*(Payment_Data.$J$6:$J$100=AB$6)*(Payment_Data.$I$6:$I$100)),0)</f>
        <v/>
      </c>
      <c r="AC29" s="70">
        <f>IFERROR(SUMPRODUCT((Payment_Data.$B$6:$B$100="STR-004")*(Payment_Data.$J$6:$J$100=AC$6)*(Payment_Data.$I$6:$I$100)),0)</f>
        <v/>
      </c>
      <c r="AD29" s="70">
        <f>IFERROR(SUMPRODUCT((Payment_Data.$B$6:$B$100="STR-004")*(Payment_Data.$J$6:$J$100=AD$6)*(Payment_Data.$I$6:$I$100)),0)</f>
        <v/>
      </c>
      <c r="AE29" s="71">
        <f>IFERROR(SUMPRODUCT((Payment_Data.$B$6:$B$100="STR-004")*(Payment_Data.$J$6:$J$100=AE$6)*(Payment_Data.$I$6:$I$100)),0)</f>
        <v/>
      </c>
      <c r="AF29" s="72">
        <f>IFERROR(SUMPRODUCT((Payment_Data.$B$6:$B$100="STR-004")*(Payment_Data.$J$6:$J$100=AF$6)*(Payment_Data.$I$6:$I$100)),0)</f>
        <v/>
      </c>
      <c r="AG29" s="70">
        <f>IFERROR(SUMPRODUCT((Payment_Data.$B$6:$B$100="STR-004")*(Payment_Data.$J$6:$J$100=AG$6)*(Payment_Data.$I$6:$I$100)),0)</f>
        <v/>
      </c>
      <c r="AH29" s="70">
        <f>IFERROR(SUMPRODUCT((Payment_Data.$B$6:$B$100="STR-004")*(Payment_Data.$J$6:$J$100=AH$6)*(Payment_Data.$I$6:$I$100)),0)</f>
        <v/>
      </c>
      <c r="AI29" s="70">
        <f>IFERROR(SUMPRODUCT((Payment_Data.$B$6:$B$100="STR-004")*(Payment_Data.$J$6:$J$100=AI$6)*(Payment_Data.$I$6:$I$100)),0)</f>
        <v/>
      </c>
      <c r="AJ29" s="70">
        <f>IFERROR(SUMPRODUCT((Payment_Data.$B$6:$B$100="STR-004")*(Payment_Data.$J$6:$J$100=AJ$6)*(Payment_Data.$I$6:$I$100)),0)</f>
        <v/>
      </c>
      <c r="AK29" s="70">
        <f>IFERROR(SUMPRODUCT((Payment_Data.$B$6:$B$100="STR-004")*(Payment_Data.$J$6:$J$100=AK$6)*(Payment_Data.$I$6:$I$100)),0)</f>
        <v/>
      </c>
      <c r="AL29" s="71">
        <f>IFERROR(SUMPRODUCT((Payment_Data.$B$6:$B$100="STR-004")*(Payment_Data.$J$6:$J$100=AL$6)*(Payment_Data.$I$6:$I$100)),0)</f>
        <v/>
      </c>
      <c r="AM29" s="72">
        <f>IFERROR(SUMPRODUCT((Payment_Data.$B$6:$B$100="STR-004")*(Payment_Data.$J$6:$J$100=AM$6)*(Payment_Data.$I$6:$I$100)),0)</f>
        <v/>
      </c>
      <c r="AN29" s="70">
        <f>IFERROR(SUMPRODUCT((Payment_Data.$B$6:$B$100="STR-004")*(Payment_Data.$J$6:$J$100=AN$6)*(Payment_Data.$I$6:$I$100)),0)</f>
        <v/>
      </c>
      <c r="AO29" s="70">
        <f>IFERROR(SUMPRODUCT((Payment_Data.$B$6:$B$100="STR-004")*(Payment_Data.$J$6:$J$100=AO$6)*(Payment_Data.$I$6:$I$100)),0)</f>
        <v/>
      </c>
      <c r="AP29" s="70">
        <f>IFERROR(SUMPRODUCT((Payment_Data.$B$6:$B$100="STR-004")*(Payment_Data.$J$6:$J$100=AP$6)*(Payment_Data.$I$6:$I$100)),0)</f>
        <v/>
      </c>
      <c r="AQ29" s="70">
        <f>IFERROR(SUMPRODUCT((Payment_Data.$B$6:$B$100="STR-004")*(Payment_Data.$J$6:$J$100=AQ$6)*(Payment_Data.$I$6:$I$100)),0)</f>
        <v/>
      </c>
      <c r="AR29" s="70">
        <f>IFERROR(SUMPRODUCT((Payment_Data.$B$6:$B$100="STR-004")*(Payment_Data.$J$6:$J$100=AR$6)*(Payment_Data.$I$6:$I$100)),0)</f>
        <v/>
      </c>
      <c r="AS29" s="71">
        <f>IFERROR(SUMPRODUCT((Payment_Data.$B$6:$B$100="STR-004")*(Payment_Data.$J$6:$J$100=AS$6)*(Payment_Data.$I$6:$I$100)),0)</f>
        <v/>
      </c>
      <c r="AT29" s="72">
        <f>IFERROR(SUMPRODUCT((Payment_Data.$B$6:$B$100="STR-004")*(Payment_Data.$J$6:$J$100=AT$6)*(Payment_Data.$I$6:$I$100)),0)</f>
        <v/>
      </c>
      <c r="AU29" s="70">
        <f>IFERROR(SUMPRODUCT((Payment_Data.$B$6:$B$100="STR-004")*(Payment_Data.$J$6:$J$100=AU$6)*(Payment_Data.$I$6:$I$100)),0)</f>
        <v/>
      </c>
      <c r="AV29" s="70">
        <f>IFERROR(SUMPRODUCT((Payment_Data.$B$6:$B$100="STR-004")*(Payment_Data.$J$6:$J$100=AV$6)*(Payment_Data.$I$6:$I$100)),0)</f>
        <v/>
      </c>
      <c r="AW29" s="70">
        <f>IFERROR(SUMPRODUCT((Payment_Data.$B$6:$B$100="STR-004")*(Payment_Data.$J$6:$J$100=AW$6)*(Payment_Data.$I$6:$I$100)),0)</f>
        <v/>
      </c>
      <c r="AX29" s="70">
        <f>IFERROR(SUMPRODUCT((Payment_Data.$B$6:$B$100="STR-004")*(Payment_Data.$J$6:$J$100=AX$6)*(Payment_Data.$I$6:$I$100)),0)</f>
        <v/>
      </c>
      <c r="AY29" s="70">
        <f>IFERROR(SUMPRODUCT((Payment_Data.$B$6:$B$100="STR-004")*(Payment_Data.$J$6:$J$100=AY$6)*(Payment_Data.$I$6:$I$100)),0)</f>
        <v/>
      </c>
      <c r="AZ29" s="71">
        <f>IFERROR(SUMPRODUCT((Payment_Data.$B$6:$B$100="STR-004")*(Payment_Data.$J$6:$J$100=AZ$6)*(Payment_Data.$I$6:$I$100)),0)</f>
        <v/>
      </c>
      <c r="BA29" s="72">
        <f>IFERROR(SUMPRODUCT((Payment_Data.$B$6:$B$100="STR-004")*(Payment_Data.$J$6:$J$100=BA$6)*(Payment_Data.$I$6:$I$100)),0)</f>
        <v/>
      </c>
      <c r="BB29" s="70">
        <f>IFERROR(SUMPRODUCT((Payment_Data.$B$6:$B$100="STR-004")*(Payment_Data.$J$6:$J$100=BB$6)*(Payment_Data.$I$6:$I$100)),0)</f>
        <v/>
      </c>
      <c r="BC29" s="70">
        <f>IFERROR(SUMPRODUCT((Payment_Data.$B$6:$B$100="STR-004")*(Payment_Data.$J$6:$J$100=BC$6)*(Payment_Data.$I$6:$I$100)),0)</f>
        <v/>
      </c>
      <c r="BD29" s="70">
        <f>IFERROR(SUMPRODUCT((Payment_Data.$B$6:$B$100="STR-004")*(Payment_Data.$J$6:$J$100=BD$6)*(Payment_Data.$I$6:$I$100)),0)</f>
        <v/>
      </c>
      <c r="BE29" s="70">
        <f>IFERROR(SUMPRODUCT((Payment_Data.$B$6:$B$100="STR-004")*(Payment_Data.$J$6:$J$100=BE$6)*(Payment_Data.$I$6:$I$100)),0)</f>
        <v/>
      </c>
      <c r="BF29" s="70">
        <f>IFERROR(SUMPRODUCT((Payment_Data.$B$6:$B$100="STR-004")*(Payment_Data.$J$6:$J$100=BF$6)*(Payment_Data.$I$6:$I$100)),0)</f>
        <v/>
      </c>
      <c r="BG29" s="71">
        <f>IFERROR(SUMPRODUCT((Payment_Data.$B$6:$B$100="STR-004")*(Payment_Data.$J$6:$J$100=BG$6)*(Payment_Data.$I$6:$I$100)),0)</f>
        <v/>
      </c>
      <c r="BH29" s="72">
        <f>IFERROR(SUMPRODUCT((Payment_Data.$B$6:$B$100="STR-004")*(Payment_Data.$J$6:$J$100=BH$6)*(Payment_Data.$I$6:$I$100)),0)</f>
        <v/>
      </c>
      <c r="BI29" s="70">
        <f>IFERROR(SUMPRODUCT((Payment_Data.$B$6:$B$100="STR-004")*(Payment_Data.$J$6:$J$100=BI$6)*(Payment_Data.$I$6:$I$100)),0)</f>
        <v/>
      </c>
      <c r="BJ29" s="70">
        <f>IFERROR(SUMPRODUCT((Payment_Data.$B$6:$B$100="STR-004")*(Payment_Data.$J$6:$J$100=BJ$6)*(Payment_Data.$I$6:$I$100)),0)</f>
        <v/>
      </c>
      <c r="BK29" s="70">
        <f>IFERROR(SUMPRODUCT((Payment_Data.$B$6:$B$100="STR-004")*(Payment_Data.$J$6:$J$100=BK$6)*(Payment_Data.$I$6:$I$100)),0)</f>
        <v/>
      </c>
      <c r="BL29" s="70">
        <f>IFERROR(SUMPRODUCT((Payment_Data.$B$6:$B$100="STR-004")*(Payment_Data.$J$6:$J$100=BL$6)*(Payment_Data.$I$6:$I$100)),0)</f>
        <v/>
      </c>
    </row>
    <row r="30">
      <c r="A30" s="66" t="inlineStr">
        <is>
          <t>LOAN REPAYMENTS</t>
        </is>
      </c>
      <c r="B30" s="94" t="n"/>
      <c r="C30" s="94" t="n"/>
      <c r="D30" s="95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  <c r="AZ30" s="67" t="n"/>
      <c r="BA30" s="67" t="n"/>
      <c r="BB30" s="67" t="n"/>
      <c r="BC30" s="67" t="n"/>
      <c r="BD30" s="67" t="n"/>
      <c r="BE30" s="67" t="n"/>
      <c r="BF30" s="67" t="n"/>
      <c r="BG30" s="67" t="n"/>
      <c r="BH30" s="67" t="n"/>
      <c r="BI30" s="67" t="n"/>
      <c r="BJ30" s="67" t="n"/>
      <c r="BK30" s="67" t="n"/>
      <c r="BL30" s="67" t="n"/>
    </row>
    <row r="31">
      <c r="A31" s="82" t="inlineStr">
        <is>
          <t>LOAN</t>
        </is>
      </c>
      <c r="B31" s="32" t="inlineStr">
        <is>
          <t>Saudi National Bank</t>
        </is>
      </c>
      <c r="C31" s="10" t="inlineStr">
        <is>
          <t>SAR</t>
        </is>
      </c>
      <c r="D31" s="10">
        <f>IFERROR(INDEX(Payment_Data.$L$6:$L$100,MATCH("LOAN-001",Payment_Data.$B$6:$B$100,0)),"")</f>
        <v/>
      </c>
      <c r="E31" s="70">
        <f>IFERROR(SUMPRODUCT((Payment_Data.$B$6:$B$100="LOAN-001")*(Payment_Data.$J$6:$J$100=E$6)*(Payment_Data.$I$6:$I$100)),0)</f>
        <v/>
      </c>
      <c r="F31" s="70">
        <f>IFERROR(SUMPRODUCT((Payment_Data.$B$6:$B$100="LOAN-001")*(Payment_Data.$J$6:$J$100=F$6)*(Payment_Data.$I$6:$I$100)),0)</f>
        <v/>
      </c>
      <c r="G31" s="70">
        <f>IFERROR(SUMPRODUCT((Payment_Data.$B$6:$B$100="LOAN-001")*(Payment_Data.$J$6:$J$100=G$6)*(Payment_Data.$I$6:$I$100)),0)</f>
        <v/>
      </c>
      <c r="H31" s="70">
        <f>IFERROR(SUMPRODUCT((Payment_Data.$B$6:$B$100="LOAN-001")*(Payment_Data.$J$6:$J$100=H$6)*(Payment_Data.$I$6:$I$100)),0)</f>
        <v/>
      </c>
      <c r="I31" s="70">
        <f>IFERROR(SUMPRODUCT((Payment_Data.$B$6:$B$100="LOAN-001")*(Payment_Data.$J$6:$J$100=I$6)*(Payment_Data.$I$6:$I$100)),0)</f>
        <v/>
      </c>
      <c r="J31" s="71">
        <f>IFERROR(SUMPRODUCT((Payment_Data.$B$6:$B$100="LOAN-001")*(Payment_Data.$J$6:$J$100=J$6)*(Payment_Data.$I$6:$I$100)),0)</f>
        <v/>
      </c>
      <c r="K31" s="72">
        <f>IFERROR(SUMPRODUCT((Payment_Data.$B$6:$B$100="LOAN-001")*(Payment_Data.$J$6:$J$100=K$6)*(Payment_Data.$I$6:$I$100)),0)</f>
        <v/>
      </c>
      <c r="L31" s="70">
        <f>IFERROR(SUMPRODUCT((Payment_Data.$B$6:$B$100="LOAN-001")*(Payment_Data.$J$6:$J$100=L$6)*(Payment_Data.$I$6:$I$100)),0)</f>
        <v/>
      </c>
      <c r="M31" s="70">
        <f>IFERROR(SUMPRODUCT((Payment_Data.$B$6:$B$100="LOAN-001")*(Payment_Data.$J$6:$J$100=M$6)*(Payment_Data.$I$6:$I$100)),0)</f>
        <v/>
      </c>
      <c r="N31" s="70">
        <f>IFERROR(SUMPRODUCT((Payment_Data.$B$6:$B$100="LOAN-001")*(Payment_Data.$J$6:$J$100=N$6)*(Payment_Data.$I$6:$I$100)),0)</f>
        <v/>
      </c>
      <c r="O31" s="70">
        <f>IFERROR(SUMPRODUCT((Payment_Data.$B$6:$B$100="LOAN-001")*(Payment_Data.$J$6:$J$100=O$6)*(Payment_Data.$I$6:$I$100)),0)</f>
        <v/>
      </c>
      <c r="P31" s="70">
        <f>IFERROR(SUMPRODUCT((Payment_Data.$B$6:$B$100="LOAN-001")*(Payment_Data.$J$6:$J$100=P$6)*(Payment_Data.$I$6:$I$100)),0)</f>
        <v/>
      </c>
      <c r="Q31" s="71">
        <f>IFERROR(SUMPRODUCT((Payment_Data.$B$6:$B$100="LOAN-001")*(Payment_Data.$J$6:$J$100=Q$6)*(Payment_Data.$I$6:$I$100)),0)</f>
        <v/>
      </c>
      <c r="R31" s="72">
        <f>IFERROR(SUMPRODUCT((Payment_Data.$B$6:$B$100="LOAN-001")*(Payment_Data.$J$6:$J$100=R$6)*(Payment_Data.$I$6:$I$100)),0)</f>
        <v/>
      </c>
      <c r="S31" s="70">
        <f>IFERROR(SUMPRODUCT((Payment_Data.$B$6:$B$100="LOAN-001")*(Payment_Data.$J$6:$J$100=S$6)*(Payment_Data.$I$6:$I$100)),0)</f>
        <v/>
      </c>
      <c r="T31" s="70">
        <f>IFERROR(SUMPRODUCT((Payment_Data.$B$6:$B$100="LOAN-001")*(Payment_Data.$J$6:$J$100=T$6)*(Payment_Data.$I$6:$I$100)),0)</f>
        <v/>
      </c>
      <c r="U31" s="70">
        <f>IFERROR(SUMPRODUCT((Payment_Data.$B$6:$B$100="LOAN-001")*(Payment_Data.$J$6:$J$100=U$6)*(Payment_Data.$I$6:$I$100)),0)</f>
        <v/>
      </c>
      <c r="V31" s="70">
        <f>IFERROR(SUMPRODUCT((Payment_Data.$B$6:$B$100="LOAN-001")*(Payment_Data.$J$6:$J$100=V$6)*(Payment_Data.$I$6:$I$100)),0)</f>
        <v/>
      </c>
      <c r="W31" s="70">
        <f>IFERROR(SUMPRODUCT((Payment_Data.$B$6:$B$100="LOAN-001")*(Payment_Data.$J$6:$J$100=W$6)*(Payment_Data.$I$6:$I$100)),0)</f>
        <v/>
      </c>
      <c r="X31" s="71">
        <f>IFERROR(SUMPRODUCT((Payment_Data.$B$6:$B$100="LOAN-001")*(Payment_Data.$J$6:$J$100=X$6)*(Payment_Data.$I$6:$I$100)),0)</f>
        <v/>
      </c>
      <c r="Y31" s="72">
        <f>IFERROR(SUMPRODUCT((Payment_Data.$B$6:$B$100="LOAN-001")*(Payment_Data.$J$6:$J$100=Y$6)*(Payment_Data.$I$6:$I$100)),0)</f>
        <v/>
      </c>
      <c r="Z31" s="70">
        <f>IFERROR(SUMPRODUCT((Payment_Data.$B$6:$B$100="LOAN-001")*(Payment_Data.$J$6:$J$100=Z$6)*(Payment_Data.$I$6:$I$100)),0)</f>
        <v/>
      </c>
      <c r="AA31" s="70">
        <f>IFERROR(SUMPRODUCT((Payment_Data.$B$6:$B$100="LOAN-001")*(Payment_Data.$J$6:$J$100=AA$6)*(Payment_Data.$I$6:$I$100)),0)</f>
        <v/>
      </c>
      <c r="AB31" s="70">
        <f>IFERROR(SUMPRODUCT((Payment_Data.$B$6:$B$100="LOAN-001")*(Payment_Data.$J$6:$J$100=AB$6)*(Payment_Data.$I$6:$I$100)),0)</f>
        <v/>
      </c>
      <c r="AC31" s="70">
        <f>IFERROR(SUMPRODUCT((Payment_Data.$B$6:$B$100="LOAN-001")*(Payment_Data.$J$6:$J$100=AC$6)*(Payment_Data.$I$6:$I$100)),0)</f>
        <v/>
      </c>
      <c r="AD31" s="70">
        <f>IFERROR(SUMPRODUCT((Payment_Data.$B$6:$B$100="LOAN-001")*(Payment_Data.$J$6:$J$100=AD$6)*(Payment_Data.$I$6:$I$100)),0)</f>
        <v/>
      </c>
      <c r="AE31" s="71">
        <f>IFERROR(SUMPRODUCT((Payment_Data.$B$6:$B$100="LOAN-001")*(Payment_Data.$J$6:$J$100=AE$6)*(Payment_Data.$I$6:$I$100)),0)</f>
        <v/>
      </c>
      <c r="AF31" s="72">
        <f>IFERROR(SUMPRODUCT((Payment_Data.$B$6:$B$100="LOAN-001")*(Payment_Data.$J$6:$J$100=AF$6)*(Payment_Data.$I$6:$I$100)),0)</f>
        <v/>
      </c>
      <c r="AG31" s="70">
        <f>IFERROR(SUMPRODUCT((Payment_Data.$B$6:$B$100="LOAN-001")*(Payment_Data.$J$6:$J$100=AG$6)*(Payment_Data.$I$6:$I$100)),0)</f>
        <v/>
      </c>
      <c r="AH31" s="70">
        <f>IFERROR(SUMPRODUCT((Payment_Data.$B$6:$B$100="LOAN-001")*(Payment_Data.$J$6:$J$100=AH$6)*(Payment_Data.$I$6:$I$100)),0)</f>
        <v/>
      </c>
      <c r="AI31" s="70">
        <f>IFERROR(SUMPRODUCT((Payment_Data.$B$6:$B$100="LOAN-001")*(Payment_Data.$J$6:$J$100=AI$6)*(Payment_Data.$I$6:$I$100)),0)</f>
        <v/>
      </c>
      <c r="AJ31" s="70">
        <f>IFERROR(SUMPRODUCT((Payment_Data.$B$6:$B$100="LOAN-001")*(Payment_Data.$J$6:$J$100=AJ$6)*(Payment_Data.$I$6:$I$100)),0)</f>
        <v/>
      </c>
      <c r="AK31" s="70">
        <f>IFERROR(SUMPRODUCT((Payment_Data.$B$6:$B$100="LOAN-001")*(Payment_Data.$J$6:$J$100=AK$6)*(Payment_Data.$I$6:$I$100)),0)</f>
        <v/>
      </c>
      <c r="AL31" s="71">
        <f>IFERROR(SUMPRODUCT((Payment_Data.$B$6:$B$100="LOAN-001")*(Payment_Data.$J$6:$J$100=AL$6)*(Payment_Data.$I$6:$I$100)),0)</f>
        <v/>
      </c>
      <c r="AM31" s="72">
        <f>IFERROR(SUMPRODUCT((Payment_Data.$B$6:$B$100="LOAN-001")*(Payment_Data.$J$6:$J$100=AM$6)*(Payment_Data.$I$6:$I$100)),0)</f>
        <v/>
      </c>
      <c r="AN31" s="70">
        <f>IFERROR(SUMPRODUCT((Payment_Data.$B$6:$B$100="LOAN-001")*(Payment_Data.$J$6:$J$100=AN$6)*(Payment_Data.$I$6:$I$100)),0)</f>
        <v/>
      </c>
      <c r="AO31" s="70">
        <f>IFERROR(SUMPRODUCT((Payment_Data.$B$6:$B$100="LOAN-001")*(Payment_Data.$J$6:$J$100=AO$6)*(Payment_Data.$I$6:$I$100)),0)</f>
        <v/>
      </c>
      <c r="AP31" s="70">
        <f>IFERROR(SUMPRODUCT((Payment_Data.$B$6:$B$100="LOAN-001")*(Payment_Data.$J$6:$J$100=AP$6)*(Payment_Data.$I$6:$I$100)),0)</f>
        <v/>
      </c>
      <c r="AQ31" s="70">
        <f>IFERROR(SUMPRODUCT((Payment_Data.$B$6:$B$100="LOAN-001")*(Payment_Data.$J$6:$J$100=AQ$6)*(Payment_Data.$I$6:$I$100)),0)</f>
        <v/>
      </c>
      <c r="AR31" s="70">
        <f>IFERROR(SUMPRODUCT((Payment_Data.$B$6:$B$100="LOAN-001")*(Payment_Data.$J$6:$J$100=AR$6)*(Payment_Data.$I$6:$I$100)),0)</f>
        <v/>
      </c>
      <c r="AS31" s="71">
        <f>IFERROR(SUMPRODUCT((Payment_Data.$B$6:$B$100="LOAN-001")*(Payment_Data.$J$6:$J$100=AS$6)*(Payment_Data.$I$6:$I$100)),0)</f>
        <v/>
      </c>
      <c r="AT31" s="72">
        <f>IFERROR(SUMPRODUCT((Payment_Data.$B$6:$B$100="LOAN-001")*(Payment_Data.$J$6:$J$100=AT$6)*(Payment_Data.$I$6:$I$100)),0)</f>
        <v/>
      </c>
      <c r="AU31" s="70">
        <f>IFERROR(SUMPRODUCT((Payment_Data.$B$6:$B$100="LOAN-001")*(Payment_Data.$J$6:$J$100=AU$6)*(Payment_Data.$I$6:$I$100)),0)</f>
        <v/>
      </c>
      <c r="AV31" s="70">
        <f>IFERROR(SUMPRODUCT((Payment_Data.$B$6:$B$100="LOAN-001")*(Payment_Data.$J$6:$J$100=AV$6)*(Payment_Data.$I$6:$I$100)),0)</f>
        <v/>
      </c>
      <c r="AW31" s="70">
        <f>IFERROR(SUMPRODUCT((Payment_Data.$B$6:$B$100="LOAN-001")*(Payment_Data.$J$6:$J$100=AW$6)*(Payment_Data.$I$6:$I$100)),0)</f>
        <v/>
      </c>
      <c r="AX31" s="70">
        <f>IFERROR(SUMPRODUCT((Payment_Data.$B$6:$B$100="LOAN-001")*(Payment_Data.$J$6:$J$100=AX$6)*(Payment_Data.$I$6:$I$100)),0)</f>
        <v/>
      </c>
      <c r="AY31" s="70">
        <f>IFERROR(SUMPRODUCT((Payment_Data.$B$6:$B$100="LOAN-001")*(Payment_Data.$J$6:$J$100=AY$6)*(Payment_Data.$I$6:$I$100)),0)</f>
        <v/>
      </c>
      <c r="AZ31" s="71">
        <f>IFERROR(SUMPRODUCT((Payment_Data.$B$6:$B$100="LOAN-001")*(Payment_Data.$J$6:$J$100=AZ$6)*(Payment_Data.$I$6:$I$100)),0)</f>
        <v/>
      </c>
      <c r="BA31" s="72">
        <f>IFERROR(SUMPRODUCT((Payment_Data.$B$6:$B$100="LOAN-001")*(Payment_Data.$J$6:$J$100=BA$6)*(Payment_Data.$I$6:$I$100)),0)</f>
        <v/>
      </c>
      <c r="BB31" s="70">
        <f>IFERROR(SUMPRODUCT((Payment_Data.$B$6:$B$100="LOAN-001")*(Payment_Data.$J$6:$J$100=BB$6)*(Payment_Data.$I$6:$I$100)),0)</f>
        <v/>
      </c>
      <c r="BC31" s="70">
        <f>IFERROR(SUMPRODUCT((Payment_Data.$B$6:$B$100="LOAN-001")*(Payment_Data.$J$6:$J$100=BC$6)*(Payment_Data.$I$6:$I$100)),0)</f>
        <v/>
      </c>
      <c r="BD31" s="70">
        <f>IFERROR(SUMPRODUCT((Payment_Data.$B$6:$B$100="LOAN-001")*(Payment_Data.$J$6:$J$100=BD$6)*(Payment_Data.$I$6:$I$100)),0)</f>
        <v/>
      </c>
      <c r="BE31" s="70">
        <f>IFERROR(SUMPRODUCT((Payment_Data.$B$6:$B$100="LOAN-001")*(Payment_Data.$J$6:$J$100=BE$6)*(Payment_Data.$I$6:$I$100)),0)</f>
        <v/>
      </c>
      <c r="BF31" s="70">
        <f>IFERROR(SUMPRODUCT((Payment_Data.$B$6:$B$100="LOAN-001")*(Payment_Data.$J$6:$J$100=BF$6)*(Payment_Data.$I$6:$I$100)),0)</f>
        <v/>
      </c>
      <c r="BG31" s="71">
        <f>IFERROR(SUMPRODUCT((Payment_Data.$B$6:$B$100="LOAN-001")*(Payment_Data.$J$6:$J$100=BG$6)*(Payment_Data.$I$6:$I$100)),0)</f>
        <v/>
      </c>
      <c r="BH31" s="72">
        <f>IFERROR(SUMPRODUCT((Payment_Data.$B$6:$B$100="LOAN-001")*(Payment_Data.$J$6:$J$100=BH$6)*(Payment_Data.$I$6:$I$100)),0)</f>
        <v/>
      </c>
      <c r="BI31" s="70">
        <f>IFERROR(SUMPRODUCT((Payment_Data.$B$6:$B$100="LOAN-001")*(Payment_Data.$J$6:$J$100=BI$6)*(Payment_Data.$I$6:$I$100)),0)</f>
        <v/>
      </c>
      <c r="BJ31" s="70">
        <f>IFERROR(SUMPRODUCT((Payment_Data.$B$6:$B$100="LOAN-001")*(Payment_Data.$J$6:$J$100=BJ$6)*(Payment_Data.$I$6:$I$100)),0)</f>
        <v/>
      </c>
      <c r="BK31" s="70">
        <f>IFERROR(SUMPRODUCT((Payment_Data.$B$6:$B$100="LOAN-001")*(Payment_Data.$J$6:$J$100=BK$6)*(Payment_Data.$I$6:$I$100)),0)</f>
        <v/>
      </c>
      <c r="BL31" s="70">
        <f>IFERROR(SUMPRODUCT((Payment_Data.$B$6:$B$100="LOAN-001")*(Payment_Data.$J$6:$J$100=BL$6)*(Payment_Data.$I$6:$I$100)),0)</f>
        <v/>
      </c>
    </row>
    <row r="32">
      <c r="A32" s="82" t="inlineStr">
        <is>
          <t>LOAN</t>
        </is>
      </c>
      <c r="B32" s="32" t="inlineStr">
        <is>
          <t>Al Rajhi Bank</t>
        </is>
      </c>
      <c r="C32" s="10" t="inlineStr">
        <is>
          <t>SAR</t>
        </is>
      </c>
      <c r="D32" s="10">
        <f>IFERROR(INDEX(Payment_Data.$L$6:$L$100,MATCH("LOAN-002",Payment_Data.$B$6:$B$100,0)),"")</f>
        <v/>
      </c>
      <c r="E32" s="70">
        <f>IFERROR(SUMPRODUCT((Payment_Data.$B$6:$B$100="LOAN-002")*(Payment_Data.$J$6:$J$100=E$6)*(Payment_Data.$I$6:$I$100)),0)</f>
        <v/>
      </c>
      <c r="F32" s="70">
        <f>IFERROR(SUMPRODUCT((Payment_Data.$B$6:$B$100="LOAN-002")*(Payment_Data.$J$6:$J$100=F$6)*(Payment_Data.$I$6:$I$100)),0)</f>
        <v/>
      </c>
      <c r="G32" s="70">
        <f>IFERROR(SUMPRODUCT((Payment_Data.$B$6:$B$100="LOAN-002")*(Payment_Data.$J$6:$J$100=G$6)*(Payment_Data.$I$6:$I$100)),0)</f>
        <v/>
      </c>
      <c r="H32" s="70">
        <f>IFERROR(SUMPRODUCT((Payment_Data.$B$6:$B$100="LOAN-002")*(Payment_Data.$J$6:$J$100=H$6)*(Payment_Data.$I$6:$I$100)),0)</f>
        <v/>
      </c>
      <c r="I32" s="70">
        <f>IFERROR(SUMPRODUCT((Payment_Data.$B$6:$B$100="LOAN-002")*(Payment_Data.$J$6:$J$100=I$6)*(Payment_Data.$I$6:$I$100)),0)</f>
        <v/>
      </c>
      <c r="J32" s="71">
        <f>IFERROR(SUMPRODUCT((Payment_Data.$B$6:$B$100="LOAN-002")*(Payment_Data.$J$6:$J$100=J$6)*(Payment_Data.$I$6:$I$100)),0)</f>
        <v/>
      </c>
      <c r="K32" s="72">
        <f>IFERROR(SUMPRODUCT((Payment_Data.$B$6:$B$100="LOAN-002")*(Payment_Data.$J$6:$J$100=K$6)*(Payment_Data.$I$6:$I$100)),0)</f>
        <v/>
      </c>
      <c r="L32" s="70">
        <f>IFERROR(SUMPRODUCT((Payment_Data.$B$6:$B$100="LOAN-002")*(Payment_Data.$J$6:$J$100=L$6)*(Payment_Data.$I$6:$I$100)),0)</f>
        <v/>
      </c>
      <c r="M32" s="70">
        <f>IFERROR(SUMPRODUCT((Payment_Data.$B$6:$B$100="LOAN-002")*(Payment_Data.$J$6:$J$100=M$6)*(Payment_Data.$I$6:$I$100)),0)</f>
        <v/>
      </c>
      <c r="N32" s="70">
        <f>IFERROR(SUMPRODUCT((Payment_Data.$B$6:$B$100="LOAN-002")*(Payment_Data.$J$6:$J$100=N$6)*(Payment_Data.$I$6:$I$100)),0)</f>
        <v/>
      </c>
      <c r="O32" s="70">
        <f>IFERROR(SUMPRODUCT((Payment_Data.$B$6:$B$100="LOAN-002")*(Payment_Data.$J$6:$J$100=O$6)*(Payment_Data.$I$6:$I$100)),0)</f>
        <v/>
      </c>
      <c r="P32" s="70">
        <f>IFERROR(SUMPRODUCT((Payment_Data.$B$6:$B$100="LOAN-002")*(Payment_Data.$J$6:$J$100=P$6)*(Payment_Data.$I$6:$I$100)),0)</f>
        <v/>
      </c>
      <c r="Q32" s="71">
        <f>IFERROR(SUMPRODUCT((Payment_Data.$B$6:$B$100="LOAN-002")*(Payment_Data.$J$6:$J$100=Q$6)*(Payment_Data.$I$6:$I$100)),0)</f>
        <v/>
      </c>
      <c r="R32" s="72">
        <f>IFERROR(SUMPRODUCT((Payment_Data.$B$6:$B$100="LOAN-002")*(Payment_Data.$J$6:$J$100=R$6)*(Payment_Data.$I$6:$I$100)),0)</f>
        <v/>
      </c>
      <c r="S32" s="70">
        <f>IFERROR(SUMPRODUCT((Payment_Data.$B$6:$B$100="LOAN-002")*(Payment_Data.$J$6:$J$100=S$6)*(Payment_Data.$I$6:$I$100)),0)</f>
        <v/>
      </c>
      <c r="T32" s="70">
        <f>IFERROR(SUMPRODUCT((Payment_Data.$B$6:$B$100="LOAN-002")*(Payment_Data.$J$6:$J$100=T$6)*(Payment_Data.$I$6:$I$100)),0)</f>
        <v/>
      </c>
      <c r="U32" s="70">
        <f>IFERROR(SUMPRODUCT((Payment_Data.$B$6:$B$100="LOAN-002")*(Payment_Data.$J$6:$J$100=U$6)*(Payment_Data.$I$6:$I$100)),0)</f>
        <v/>
      </c>
      <c r="V32" s="70">
        <f>IFERROR(SUMPRODUCT((Payment_Data.$B$6:$B$100="LOAN-002")*(Payment_Data.$J$6:$J$100=V$6)*(Payment_Data.$I$6:$I$100)),0)</f>
        <v/>
      </c>
      <c r="W32" s="70">
        <f>IFERROR(SUMPRODUCT((Payment_Data.$B$6:$B$100="LOAN-002")*(Payment_Data.$J$6:$J$100=W$6)*(Payment_Data.$I$6:$I$100)),0)</f>
        <v/>
      </c>
      <c r="X32" s="71">
        <f>IFERROR(SUMPRODUCT((Payment_Data.$B$6:$B$100="LOAN-002")*(Payment_Data.$J$6:$J$100=X$6)*(Payment_Data.$I$6:$I$100)),0)</f>
        <v/>
      </c>
      <c r="Y32" s="72">
        <f>IFERROR(SUMPRODUCT((Payment_Data.$B$6:$B$100="LOAN-002")*(Payment_Data.$J$6:$J$100=Y$6)*(Payment_Data.$I$6:$I$100)),0)</f>
        <v/>
      </c>
      <c r="Z32" s="70">
        <f>IFERROR(SUMPRODUCT((Payment_Data.$B$6:$B$100="LOAN-002")*(Payment_Data.$J$6:$J$100=Z$6)*(Payment_Data.$I$6:$I$100)),0)</f>
        <v/>
      </c>
      <c r="AA32" s="70">
        <f>IFERROR(SUMPRODUCT((Payment_Data.$B$6:$B$100="LOAN-002")*(Payment_Data.$J$6:$J$100=AA$6)*(Payment_Data.$I$6:$I$100)),0)</f>
        <v/>
      </c>
      <c r="AB32" s="70">
        <f>IFERROR(SUMPRODUCT((Payment_Data.$B$6:$B$100="LOAN-002")*(Payment_Data.$J$6:$J$100=AB$6)*(Payment_Data.$I$6:$I$100)),0)</f>
        <v/>
      </c>
      <c r="AC32" s="70">
        <f>IFERROR(SUMPRODUCT((Payment_Data.$B$6:$B$100="LOAN-002")*(Payment_Data.$J$6:$J$100=AC$6)*(Payment_Data.$I$6:$I$100)),0)</f>
        <v/>
      </c>
      <c r="AD32" s="70">
        <f>IFERROR(SUMPRODUCT((Payment_Data.$B$6:$B$100="LOAN-002")*(Payment_Data.$J$6:$J$100=AD$6)*(Payment_Data.$I$6:$I$100)),0)</f>
        <v/>
      </c>
      <c r="AE32" s="71">
        <f>IFERROR(SUMPRODUCT((Payment_Data.$B$6:$B$100="LOAN-002")*(Payment_Data.$J$6:$J$100=AE$6)*(Payment_Data.$I$6:$I$100)),0)</f>
        <v/>
      </c>
      <c r="AF32" s="72">
        <f>IFERROR(SUMPRODUCT((Payment_Data.$B$6:$B$100="LOAN-002")*(Payment_Data.$J$6:$J$100=AF$6)*(Payment_Data.$I$6:$I$100)),0)</f>
        <v/>
      </c>
      <c r="AG32" s="70">
        <f>IFERROR(SUMPRODUCT((Payment_Data.$B$6:$B$100="LOAN-002")*(Payment_Data.$J$6:$J$100=AG$6)*(Payment_Data.$I$6:$I$100)),0)</f>
        <v/>
      </c>
      <c r="AH32" s="70">
        <f>IFERROR(SUMPRODUCT((Payment_Data.$B$6:$B$100="LOAN-002")*(Payment_Data.$J$6:$J$100=AH$6)*(Payment_Data.$I$6:$I$100)),0)</f>
        <v/>
      </c>
      <c r="AI32" s="70">
        <f>IFERROR(SUMPRODUCT((Payment_Data.$B$6:$B$100="LOAN-002")*(Payment_Data.$J$6:$J$100=AI$6)*(Payment_Data.$I$6:$I$100)),0)</f>
        <v/>
      </c>
      <c r="AJ32" s="70">
        <f>IFERROR(SUMPRODUCT((Payment_Data.$B$6:$B$100="LOAN-002")*(Payment_Data.$J$6:$J$100=AJ$6)*(Payment_Data.$I$6:$I$100)),0)</f>
        <v/>
      </c>
      <c r="AK32" s="70">
        <f>IFERROR(SUMPRODUCT((Payment_Data.$B$6:$B$100="LOAN-002")*(Payment_Data.$J$6:$J$100=AK$6)*(Payment_Data.$I$6:$I$100)),0)</f>
        <v/>
      </c>
      <c r="AL32" s="71">
        <f>IFERROR(SUMPRODUCT((Payment_Data.$B$6:$B$100="LOAN-002")*(Payment_Data.$J$6:$J$100=AL$6)*(Payment_Data.$I$6:$I$100)),0)</f>
        <v/>
      </c>
      <c r="AM32" s="72">
        <f>IFERROR(SUMPRODUCT((Payment_Data.$B$6:$B$100="LOAN-002")*(Payment_Data.$J$6:$J$100=AM$6)*(Payment_Data.$I$6:$I$100)),0)</f>
        <v/>
      </c>
      <c r="AN32" s="70">
        <f>IFERROR(SUMPRODUCT((Payment_Data.$B$6:$B$100="LOAN-002")*(Payment_Data.$J$6:$J$100=AN$6)*(Payment_Data.$I$6:$I$100)),0)</f>
        <v/>
      </c>
      <c r="AO32" s="70">
        <f>IFERROR(SUMPRODUCT((Payment_Data.$B$6:$B$100="LOAN-002")*(Payment_Data.$J$6:$J$100=AO$6)*(Payment_Data.$I$6:$I$100)),0)</f>
        <v/>
      </c>
      <c r="AP32" s="70">
        <f>IFERROR(SUMPRODUCT((Payment_Data.$B$6:$B$100="LOAN-002")*(Payment_Data.$J$6:$J$100=AP$6)*(Payment_Data.$I$6:$I$100)),0)</f>
        <v/>
      </c>
      <c r="AQ32" s="70">
        <f>IFERROR(SUMPRODUCT((Payment_Data.$B$6:$B$100="LOAN-002")*(Payment_Data.$J$6:$J$100=AQ$6)*(Payment_Data.$I$6:$I$100)),0)</f>
        <v/>
      </c>
      <c r="AR32" s="70">
        <f>IFERROR(SUMPRODUCT((Payment_Data.$B$6:$B$100="LOAN-002")*(Payment_Data.$J$6:$J$100=AR$6)*(Payment_Data.$I$6:$I$100)),0)</f>
        <v/>
      </c>
      <c r="AS32" s="71">
        <f>IFERROR(SUMPRODUCT((Payment_Data.$B$6:$B$100="LOAN-002")*(Payment_Data.$J$6:$J$100=AS$6)*(Payment_Data.$I$6:$I$100)),0)</f>
        <v/>
      </c>
      <c r="AT32" s="72">
        <f>IFERROR(SUMPRODUCT((Payment_Data.$B$6:$B$100="LOAN-002")*(Payment_Data.$J$6:$J$100=AT$6)*(Payment_Data.$I$6:$I$100)),0)</f>
        <v/>
      </c>
      <c r="AU32" s="70">
        <f>IFERROR(SUMPRODUCT((Payment_Data.$B$6:$B$100="LOAN-002")*(Payment_Data.$J$6:$J$100=AU$6)*(Payment_Data.$I$6:$I$100)),0)</f>
        <v/>
      </c>
      <c r="AV32" s="70">
        <f>IFERROR(SUMPRODUCT((Payment_Data.$B$6:$B$100="LOAN-002")*(Payment_Data.$J$6:$J$100=AV$6)*(Payment_Data.$I$6:$I$100)),0)</f>
        <v/>
      </c>
      <c r="AW32" s="70">
        <f>IFERROR(SUMPRODUCT((Payment_Data.$B$6:$B$100="LOAN-002")*(Payment_Data.$J$6:$J$100=AW$6)*(Payment_Data.$I$6:$I$100)),0)</f>
        <v/>
      </c>
      <c r="AX32" s="70">
        <f>IFERROR(SUMPRODUCT((Payment_Data.$B$6:$B$100="LOAN-002")*(Payment_Data.$J$6:$J$100=AX$6)*(Payment_Data.$I$6:$I$100)),0)</f>
        <v/>
      </c>
      <c r="AY32" s="70">
        <f>IFERROR(SUMPRODUCT((Payment_Data.$B$6:$B$100="LOAN-002")*(Payment_Data.$J$6:$J$100=AY$6)*(Payment_Data.$I$6:$I$100)),0)</f>
        <v/>
      </c>
      <c r="AZ32" s="71">
        <f>IFERROR(SUMPRODUCT((Payment_Data.$B$6:$B$100="LOAN-002")*(Payment_Data.$J$6:$J$100=AZ$6)*(Payment_Data.$I$6:$I$100)),0)</f>
        <v/>
      </c>
      <c r="BA32" s="72">
        <f>IFERROR(SUMPRODUCT((Payment_Data.$B$6:$B$100="LOAN-002")*(Payment_Data.$J$6:$J$100=BA$6)*(Payment_Data.$I$6:$I$100)),0)</f>
        <v/>
      </c>
      <c r="BB32" s="70">
        <f>IFERROR(SUMPRODUCT((Payment_Data.$B$6:$B$100="LOAN-002")*(Payment_Data.$J$6:$J$100=BB$6)*(Payment_Data.$I$6:$I$100)),0)</f>
        <v/>
      </c>
      <c r="BC32" s="70">
        <f>IFERROR(SUMPRODUCT((Payment_Data.$B$6:$B$100="LOAN-002")*(Payment_Data.$J$6:$J$100=BC$6)*(Payment_Data.$I$6:$I$100)),0)</f>
        <v/>
      </c>
      <c r="BD32" s="70">
        <f>IFERROR(SUMPRODUCT((Payment_Data.$B$6:$B$100="LOAN-002")*(Payment_Data.$J$6:$J$100=BD$6)*(Payment_Data.$I$6:$I$100)),0)</f>
        <v/>
      </c>
      <c r="BE32" s="70">
        <f>IFERROR(SUMPRODUCT((Payment_Data.$B$6:$B$100="LOAN-002")*(Payment_Data.$J$6:$J$100=BE$6)*(Payment_Data.$I$6:$I$100)),0)</f>
        <v/>
      </c>
      <c r="BF32" s="70">
        <f>IFERROR(SUMPRODUCT((Payment_Data.$B$6:$B$100="LOAN-002")*(Payment_Data.$J$6:$J$100=BF$6)*(Payment_Data.$I$6:$I$100)),0)</f>
        <v/>
      </c>
      <c r="BG32" s="71">
        <f>IFERROR(SUMPRODUCT((Payment_Data.$B$6:$B$100="LOAN-002")*(Payment_Data.$J$6:$J$100=BG$6)*(Payment_Data.$I$6:$I$100)),0)</f>
        <v/>
      </c>
      <c r="BH32" s="72">
        <f>IFERROR(SUMPRODUCT((Payment_Data.$B$6:$B$100="LOAN-002")*(Payment_Data.$J$6:$J$100=BH$6)*(Payment_Data.$I$6:$I$100)),0)</f>
        <v/>
      </c>
      <c r="BI32" s="70">
        <f>IFERROR(SUMPRODUCT((Payment_Data.$B$6:$B$100="LOAN-002")*(Payment_Data.$J$6:$J$100=BI$6)*(Payment_Data.$I$6:$I$100)),0)</f>
        <v/>
      </c>
      <c r="BJ32" s="70">
        <f>IFERROR(SUMPRODUCT((Payment_Data.$B$6:$B$100="LOAN-002")*(Payment_Data.$J$6:$J$100=BJ$6)*(Payment_Data.$I$6:$I$100)),0)</f>
        <v/>
      </c>
      <c r="BK32" s="70">
        <f>IFERROR(SUMPRODUCT((Payment_Data.$B$6:$B$100="LOAN-002")*(Payment_Data.$J$6:$J$100=BK$6)*(Payment_Data.$I$6:$I$100)),0)</f>
        <v/>
      </c>
      <c r="BL32" s="70">
        <f>IFERROR(SUMPRODUCT((Payment_Data.$B$6:$B$100="LOAN-002")*(Payment_Data.$J$6:$J$100=BL$6)*(Payment_Data.$I$6:$I$100)),0)</f>
        <v/>
      </c>
    </row>
    <row r="33">
      <c r="A33" s="82" t="inlineStr">
        <is>
          <t>LOAN</t>
        </is>
      </c>
      <c r="B33" s="32" t="inlineStr">
        <is>
          <t>HSBC Saudi Arabia</t>
        </is>
      </c>
      <c r="C33" s="10" t="inlineStr">
        <is>
          <t>USD</t>
        </is>
      </c>
      <c r="D33" s="10">
        <f>IFERROR(INDEX(Payment_Data.$L$6:$L$100,MATCH("LOAN-003",Payment_Data.$B$6:$B$100,0)),"")</f>
        <v/>
      </c>
      <c r="E33" s="70">
        <f>IFERROR(SUMPRODUCT((Payment_Data.$B$6:$B$100="LOAN-003")*(Payment_Data.$J$6:$J$100=E$6)*(Payment_Data.$I$6:$I$100)),0)</f>
        <v/>
      </c>
      <c r="F33" s="70">
        <f>IFERROR(SUMPRODUCT((Payment_Data.$B$6:$B$100="LOAN-003")*(Payment_Data.$J$6:$J$100=F$6)*(Payment_Data.$I$6:$I$100)),0)</f>
        <v/>
      </c>
      <c r="G33" s="70">
        <f>IFERROR(SUMPRODUCT((Payment_Data.$B$6:$B$100="LOAN-003")*(Payment_Data.$J$6:$J$100=G$6)*(Payment_Data.$I$6:$I$100)),0)</f>
        <v/>
      </c>
      <c r="H33" s="70">
        <f>IFERROR(SUMPRODUCT((Payment_Data.$B$6:$B$100="LOAN-003")*(Payment_Data.$J$6:$J$100=H$6)*(Payment_Data.$I$6:$I$100)),0)</f>
        <v/>
      </c>
      <c r="I33" s="70">
        <f>IFERROR(SUMPRODUCT((Payment_Data.$B$6:$B$100="LOAN-003")*(Payment_Data.$J$6:$J$100=I$6)*(Payment_Data.$I$6:$I$100)),0)</f>
        <v/>
      </c>
      <c r="J33" s="71">
        <f>IFERROR(SUMPRODUCT((Payment_Data.$B$6:$B$100="LOAN-003")*(Payment_Data.$J$6:$J$100=J$6)*(Payment_Data.$I$6:$I$100)),0)</f>
        <v/>
      </c>
      <c r="K33" s="72">
        <f>IFERROR(SUMPRODUCT((Payment_Data.$B$6:$B$100="LOAN-003")*(Payment_Data.$J$6:$J$100=K$6)*(Payment_Data.$I$6:$I$100)),0)</f>
        <v/>
      </c>
      <c r="L33" s="70">
        <f>IFERROR(SUMPRODUCT((Payment_Data.$B$6:$B$100="LOAN-003")*(Payment_Data.$J$6:$J$100=L$6)*(Payment_Data.$I$6:$I$100)),0)</f>
        <v/>
      </c>
      <c r="M33" s="70">
        <f>IFERROR(SUMPRODUCT((Payment_Data.$B$6:$B$100="LOAN-003")*(Payment_Data.$J$6:$J$100=M$6)*(Payment_Data.$I$6:$I$100)),0)</f>
        <v/>
      </c>
      <c r="N33" s="70">
        <f>IFERROR(SUMPRODUCT((Payment_Data.$B$6:$B$100="LOAN-003")*(Payment_Data.$J$6:$J$100=N$6)*(Payment_Data.$I$6:$I$100)),0)</f>
        <v/>
      </c>
      <c r="O33" s="70">
        <f>IFERROR(SUMPRODUCT((Payment_Data.$B$6:$B$100="LOAN-003")*(Payment_Data.$J$6:$J$100=O$6)*(Payment_Data.$I$6:$I$100)),0)</f>
        <v/>
      </c>
      <c r="P33" s="70">
        <f>IFERROR(SUMPRODUCT((Payment_Data.$B$6:$B$100="LOAN-003")*(Payment_Data.$J$6:$J$100=P$6)*(Payment_Data.$I$6:$I$100)),0)</f>
        <v/>
      </c>
      <c r="Q33" s="71">
        <f>IFERROR(SUMPRODUCT((Payment_Data.$B$6:$B$100="LOAN-003")*(Payment_Data.$J$6:$J$100=Q$6)*(Payment_Data.$I$6:$I$100)),0)</f>
        <v/>
      </c>
      <c r="R33" s="72">
        <f>IFERROR(SUMPRODUCT((Payment_Data.$B$6:$B$100="LOAN-003")*(Payment_Data.$J$6:$J$100=R$6)*(Payment_Data.$I$6:$I$100)),0)</f>
        <v/>
      </c>
      <c r="S33" s="70">
        <f>IFERROR(SUMPRODUCT((Payment_Data.$B$6:$B$100="LOAN-003")*(Payment_Data.$J$6:$J$100=S$6)*(Payment_Data.$I$6:$I$100)),0)</f>
        <v/>
      </c>
      <c r="T33" s="70">
        <f>IFERROR(SUMPRODUCT((Payment_Data.$B$6:$B$100="LOAN-003")*(Payment_Data.$J$6:$J$100=T$6)*(Payment_Data.$I$6:$I$100)),0)</f>
        <v/>
      </c>
      <c r="U33" s="70">
        <f>IFERROR(SUMPRODUCT((Payment_Data.$B$6:$B$100="LOAN-003")*(Payment_Data.$J$6:$J$100=U$6)*(Payment_Data.$I$6:$I$100)),0)</f>
        <v/>
      </c>
      <c r="V33" s="70">
        <f>IFERROR(SUMPRODUCT((Payment_Data.$B$6:$B$100="LOAN-003")*(Payment_Data.$J$6:$J$100=V$6)*(Payment_Data.$I$6:$I$100)),0)</f>
        <v/>
      </c>
      <c r="W33" s="70">
        <f>IFERROR(SUMPRODUCT((Payment_Data.$B$6:$B$100="LOAN-003")*(Payment_Data.$J$6:$J$100=W$6)*(Payment_Data.$I$6:$I$100)),0)</f>
        <v/>
      </c>
      <c r="X33" s="71">
        <f>IFERROR(SUMPRODUCT((Payment_Data.$B$6:$B$100="LOAN-003")*(Payment_Data.$J$6:$J$100=X$6)*(Payment_Data.$I$6:$I$100)),0)</f>
        <v/>
      </c>
      <c r="Y33" s="72">
        <f>IFERROR(SUMPRODUCT((Payment_Data.$B$6:$B$100="LOAN-003")*(Payment_Data.$J$6:$J$100=Y$6)*(Payment_Data.$I$6:$I$100)),0)</f>
        <v/>
      </c>
      <c r="Z33" s="70">
        <f>IFERROR(SUMPRODUCT((Payment_Data.$B$6:$B$100="LOAN-003")*(Payment_Data.$J$6:$J$100=Z$6)*(Payment_Data.$I$6:$I$100)),0)</f>
        <v/>
      </c>
      <c r="AA33" s="70">
        <f>IFERROR(SUMPRODUCT((Payment_Data.$B$6:$B$100="LOAN-003")*(Payment_Data.$J$6:$J$100=AA$6)*(Payment_Data.$I$6:$I$100)),0)</f>
        <v/>
      </c>
      <c r="AB33" s="70">
        <f>IFERROR(SUMPRODUCT((Payment_Data.$B$6:$B$100="LOAN-003")*(Payment_Data.$J$6:$J$100=AB$6)*(Payment_Data.$I$6:$I$100)),0)</f>
        <v/>
      </c>
      <c r="AC33" s="70">
        <f>IFERROR(SUMPRODUCT((Payment_Data.$B$6:$B$100="LOAN-003")*(Payment_Data.$J$6:$J$100=AC$6)*(Payment_Data.$I$6:$I$100)),0)</f>
        <v/>
      </c>
      <c r="AD33" s="70">
        <f>IFERROR(SUMPRODUCT((Payment_Data.$B$6:$B$100="LOAN-003")*(Payment_Data.$J$6:$J$100=AD$6)*(Payment_Data.$I$6:$I$100)),0)</f>
        <v/>
      </c>
      <c r="AE33" s="71">
        <f>IFERROR(SUMPRODUCT((Payment_Data.$B$6:$B$100="LOAN-003")*(Payment_Data.$J$6:$J$100=AE$6)*(Payment_Data.$I$6:$I$100)),0)</f>
        <v/>
      </c>
      <c r="AF33" s="72">
        <f>IFERROR(SUMPRODUCT((Payment_Data.$B$6:$B$100="LOAN-003")*(Payment_Data.$J$6:$J$100=AF$6)*(Payment_Data.$I$6:$I$100)),0)</f>
        <v/>
      </c>
      <c r="AG33" s="70">
        <f>IFERROR(SUMPRODUCT((Payment_Data.$B$6:$B$100="LOAN-003")*(Payment_Data.$J$6:$J$100=AG$6)*(Payment_Data.$I$6:$I$100)),0)</f>
        <v/>
      </c>
      <c r="AH33" s="70">
        <f>IFERROR(SUMPRODUCT((Payment_Data.$B$6:$B$100="LOAN-003")*(Payment_Data.$J$6:$J$100=AH$6)*(Payment_Data.$I$6:$I$100)),0)</f>
        <v/>
      </c>
      <c r="AI33" s="70">
        <f>IFERROR(SUMPRODUCT((Payment_Data.$B$6:$B$100="LOAN-003")*(Payment_Data.$J$6:$J$100=AI$6)*(Payment_Data.$I$6:$I$100)),0)</f>
        <v/>
      </c>
      <c r="AJ33" s="70">
        <f>IFERROR(SUMPRODUCT((Payment_Data.$B$6:$B$100="LOAN-003")*(Payment_Data.$J$6:$J$100=AJ$6)*(Payment_Data.$I$6:$I$100)),0)</f>
        <v/>
      </c>
      <c r="AK33" s="70">
        <f>IFERROR(SUMPRODUCT((Payment_Data.$B$6:$B$100="LOAN-003")*(Payment_Data.$J$6:$J$100=AK$6)*(Payment_Data.$I$6:$I$100)),0)</f>
        <v/>
      </c>
      <c r="AL33" s="71">
        <f>IFERROR(SUMPRODUCT((Payment_Data.$B$6:$B$100="LOAN-003")*(Payment_Data.$J$6:$J$100=AL$6)*(Payment_Data.$I$6:$I$100)),0)</f>
        <v/>
      </c>
      <c r="AM33" s="72">
        <f>IFERROR(SUMPRODUCT((Payment_Data.$B$6:$B$100="LOAN-003")*(Payment_Data.$J$6:$J$100=AM$6)*(Payment_Data.$I$6:$I$100)),0)</f>
        <v/>
      </c>
      <c r="AN33" s="70">
        <f>IFERROR(SUMPRODUCT((Payment_Data.$B$6:$B$100="LOAN-003")*(Payment_Data.$J$6:$J$100=AN$6)*(Payment_Data.$I$6:$I$100)),0)</f>
        <v/>
      </c>
      <c r="AO33" s="70">
        <f>IFERROR(SUMPRODUCT((Payment_Data.$B$6:$B$100="LOAN-003")*(Payment_Data.$J$6:$J$100=AO$6)*(Payment_Data.$I$6:$I$100)),0)</f>
        <v/>
      </c>
      <c r="AP33" s="70">
        <f>IFERROR(SUMPRODUCT((Payment_Data.$B$6:$B$100="LOAN-003")*(Payment_Data.$J$6:$J$100=AP$6)*(Payment_Data.$I$6:$I$100)),0)</f>
        <v/>
      </c>
      <c r="AQ33" s="70">
        <f>IFERROR(SUMPRODUCT((Payment_Data.$B$6:$B$100="LOAN-003")*(Payment_Data.$J$6:$J$100=AQ$6)*(Payment_Data.$I$6:$I$100)),0)</f>
        <v/>
      </c>
      <c r="AR33" s="70">
        <f>IFERROR(SUMPRODUCT((Payment_Data.$B$6:$B$100="LOAN-003")*(Payment_Data.$J$6:$J$100=AR$6)*(Payment_Data.$I$6:$I$100)),0)</f>
        <v/>
      </c>
      <c r="AS33" s="71">
        <f>IFERROR(SUMPRODUCT((Payment_Data.$B$6:$B$100="LOAN-003")*(Payment_Data.$J$6:$J$100=AS$6)*(Payment_Data.$I$6:$I$100)),0)</f>
        <v/>
      </c>
      <c r="AT33" s="72">
        <f>IFERROR(SUMPRODUCT((Payment_Data.$B$6:$B$100="LOAN-003")*(Payment_Data.$J$6:$J$100=AT$6)*(Payment_Data.$I$6:$I$100)),0)</f>
        <v/>
      </c>
      <c r="AU33" s="70">
        <f>IFERROR(SUMPRODUCT((Payment_Data.$B$6:$B$100="LOAN-003")*(Payment_Data.$J$6:$J$100=AU$6)*(Payment_Data.$I$6:$I$100)),0)</f>
        <v/>
      </c>
      <c r="AV33" s="70">
        <f>IFERROR(SUMPRODUCT((Payment_Data.$B$6:$B$100="LOAN-003")*(Payment_Data.$J$6:$J$100=AV$6)*(Payment_Data.$I$6:$I$100)),0)</f>
        <v/>
      </c>
      <c r="AW33" s="70">
        <f>IFERROR(SUMPRODUCT((Payment_Data.$B$6:$B$100="LOAN-003")*(Payment_Data.$J$6:$J$100=AW$6)*(Payment_Data.$I$6:$I$100)),0)</f>
        <v/>
      </c>
      <c r="AX33" s="70">
        <f>IFERROR(SUMPRODUCT((Payment_Data.$B$6:$B$100="LOAN-003")*(Payment_Data.$J$6:$J$100=AX$6)*(Payment_Data.$I$6:$I$100)),0)</f>
        <v/>
      </c>
      <c r="AY33" s="70">
        <f>IFERROR(SUMPRODUCT((Payment_Data.$B$6:$B$100="LOAN-003")*(Payment_Data.$J$6:$J$100=AY$6)*(Payment_Data.$I$6:$I$100)),0)</f>
        <v/>
      </c>
      <c r="AZ33" s="71">
        <f>IFERROR(SUMPRODUCT((Payment_Data.$B$6:$B$100="LOAN-003")*(Payment_Data.$J$6:$J$100=AZ$6)*(Payment_Data.$I$6:$I$100)),0)</f>
        <v/>
      </c>
      <c r="BA33" s="72">
        <f>IFERROR(SUMPRODUCT((Payment_Data.$B$6:$B$100="LOAN-003")*(Payment_Data.$J$6:$J$100=BA$6)*(Payment_Data.$I$6:$I$100)),0)</f>
        <v/>
      </c>
      <c r="BB33" s="70">
        <f>IFERROR(SUMPRODUCT((Payment_Data.$B$6:$B$100="LOAN-003")*(Payment_Data.$J$6:$J$100=BB$6)*(Payment_Data.$I$6:$I$100)),0)</f>
        <v/>
      </c>
      <c r="BC33" s="70">
        <f>IFERROR(SUMPRODUCT((Payment_Data.$B$6:$B$100="LOAN-003")*(Payment_Data.$J$6:$J$100=BC$6)*(Payment_Data.$I$6:$I$100)),0)</f>
        <v/>
      </c>
      <c r="BD33" s="70">
        <f>IFERROR(SUMPRODUCT((Payment_Data.$B$6:$B$100="LOAN-003")*(Payment_Data.$J$6:$J$100=BD$6)*(Payment_Data.$I$6:$I$100)),0)</f>
        <v/>
      </c>
      <c r="BE33" s="70">
        <f>IFERROR(SUMPRODUCT((Payment_Data.$B$6:$B$100="LOAN-003")*(Payment_Data.$J$6:$J$100=BE$6)*(Payment_Data.$I$6:$I$100)),0)</f>
        <v/>
      </c>
      <c r="BF33" s="70">
        <f>IFERROR(SUMPRODUCT((Payment_Data.$B$6:$B$100="LOAN-003")*(Payment_Data.$J$6:$J$100=BF$6)*(Payment_Data.$I$6:$I$100)),0)</f>
        <v/>
      </c>
      <c r="BG33" s="71">
        <f>IFERROR(SUMPRODUCT((Payment_Data.$B$6:$B$100="LOAN-003")*(Payment_Data.$J$6:$J$100=BG$6)*(Payment_Data.$I$6:$I$100)),0)</f>
        <v/>
      </c>
      <c r="BH33" s="72">
        <f>IFERROR(SUMPRODUCT((Payment_Data.$B$6:$B$100="LOAN-003")*(Payment_Data.$J$6:$J$100=BH$6)*(Payment_Data.$I$6:$I$100)),0)</f>
        <v/>
      </c>
      <c r="BI33" s="70">
        <f>IFERROR(SUMPRODUCT((Payment_Data.$B$6:$B$100="LOAN-003")*(Payment_Data.$J$6:$J$100=BI$6)*(Payment_Data.$I$6:$I$100)),0)</f>
        <v/>
      </c>
      <c r="BJ33" s="70">
        <f>IFERROR(SUMPRODUCT((Payment_Data.$B$6:$B$100="LOAN-003")*(Payment_Data.$J$6:$J$100=BJ$6)*(Payment_Data.$I$6:$I$100)),0)</f>
        <v/>
      </c>
      <c r="BK33" s="70">
        <f>IFERROR(SUMPRODUCT((Payment_Data.$B$6:$B$100="LOAN-003")*(Payment_Data.$J$6:$J$100=BK$6)*(Payment_Data.$I$6:$I$100)),0)</f>
        <v/>
      </c>
      <c r="BL33" s="70">
        <f>IFERROR(SUMPRODUCT((Payment_Data.$B$6:$B$100="LOAN-003")*(Payment_Data.$J$6:$J$100=BL$6)*(Payment_Data.$I$6:$I$100)),0)</f>
        <v/>
      </c>
    </row>
    <row r="34">
      <c r="A34" s="82" t="inlineStr">
        <is>
          <t>LOAN</t>
        </is>
      </c>
      <c r="B34" s="32" t="inlineStr">
        <is>
          <t>Riyad Bank</t>
        </is>
      </c>
      <c r="C34" s="10" t="inlineStr">
        <is>
          <t>SAR</t>
        </is>
      </c>
      <c r="D34" s="10">
        <f>IFERROR(INDEX(Payment_Data.$L$6:$L$100,MATCH("LOAN-004",Payment_Data.$B$6:$B$100,0)),"")</f>
        <v/>
      </c>
      <c r="E34" s="70">
        <f>IFERROR(SUMPRODUCT((Payment_Data.$B$6:$B$100="LOAN-004")*(Payment_Data.$J$6:$J$100=E$6)*(Payment_Data.$I$6:$I$100)),0)</f>
        <v/>
      </c>
      <c r="F34" s="70">
        <f>IFERROR(SUMPRODUCT((Payment_Data.$B$6:$B$100="LOAN-004")*(Payment_Data.$J$6:$J$100=F$6)*(Payment_Data.$I$6:$I$100)),0)</f>
        <v/>
      </c>
      <c r="G34" s="70">
        <f>IFERROR(SUMPRODUCT((Payment_Data.$B$6:$B$100="LOAN-004")*(Payment_Data.$J$6:$J$100=G$6)*(Payment_Data.$I$6:$I$100)),0)</f>
        <v/>
      </c>
      <c r="H34" s="70">
        <f>IFERROR(SUMPRODUCT((Payment_Data.$B$6:$B$100="LOAN-004")*(Payment_Data.$J$6:$J$100=H$6)*(Payment_Data.$I$6:$I$100)),0)</f>
        <v/>
      </c>
      <c r="I34" s="70">
        <f>IFERROR(SUMPRODUCT((Payment_Data.$B$6:$B$100="LOAN-004")*(Payment_Data.$J$6:$J$100=I$6)*(Payment_Data.$I$6:$I$100)),0)</f>
        <v/>
      </c>
      <c r="J34" s="71">
        <f>IFERROR(SUMPRODUCT((Payment_Data.$B$6:$B$100="LOAN-004")*(Payment_Data.$J$6:$J$100=J$6)*(Payment_Data.$I$6:$I$100)),0)</f>
        <v/>
      </c>
      <c r="K34" s="72">
        <f>IFERROR(SUMPRODUCT((Payment_Data.$B$6:$B$100="LOAN-004")*(Payment_Data.$J$6:$J$100=K$6)*(Payment_Data.$I$6:$I$100)),0)</f>
        <v/>
      </c>
      <c r="L34" s="70">
        <f>IFERROR(SUMPRODUCT((Payment_Data.$B$6:$B$100="LOAN-004")*(Payment_Data.$J$6:$J$100=L$6)*(Payment_Data.$I$6:$I$100)),0)</f>
        <v/>
      </c>
      <c r="M34" s="70">
        <f>IFERROR(SUMPRODUCT((Payment_Data.$B$6:$B$100="LOAN-004")*(Payment_Data.$J$6:$J$100=M$6)*(Payment_Data.$I$6:$I$100)),0)</f>
        <v/>
      </c>
      <c r="N34" s="70">
        <f>IFERROR(SUMPRODUCT((Payment_Data.$B$6:$B$100="LOAN-004")*(Payment_Data.$J$6:$J$100=N$6)*(Payment_Data.$I$6:$I$100)),0)</f>
        <v/>
      </c>
      <c r="O34" s="70">
        <f>IFERROR(SUMPRODUCT((Payment_Data.$B$6:$B$100="LOAN-004")*(Payment_Data.$J$6:$J$100=O$6)*(Payment_Data.$I$6:$I$100)),0)</f>
        <v/>
      </c>
      <c r="P34" s="70">
        <f>IFERROR(SUMPRODUCT((Payment_Data.$B$6:$B$100="LOAN-004")*(Payment_Data.$J$6:$J$100=P$6)*(Payment_Data.$I$6:$I$100)),0)</f>
        <v/>
      </c>
      <c r="Q34" s="71">
        <f>IFERROR(SUMPRODUCT((Payment_Data.$B$6:$B$100="LOAN-004")*(Payment_Data.$J$6:$J$100=Q$6)*(Payment_Data.$I$6:$I$100)),0)</f>
        <v/>
      </c>
      <c r="R34" s="72">
        <f>IFERROR(SUMPRODUCT((Payment_Data.$B$6:$B$100="LOAN-004")*(Payment_Data.$J$6:$J$100=R$6)*(Payment_Data.$I$6:$I$100)),0)</f>
        <v/>
      </c>
      <c r="S34" s="70">
        <f>IFERROR(SUMPRODUCT((Payment_Data.$B$6:$B$100="LOAN-004")*(Payment_Data.$J$6:$J$100=S$6)*(Payment_Data.$I$6:$I$100)),0)</f>
        <v/>
      </c>
      <c r="T34" s="70">
        <f>IFERROR(SUMPRODUCT((Payment_Data.$B$6:$B$100="LOAN-004")*(Payment_Data.$J$6:$J$100=T$6)*(Payment_Data.$I$6:$I$100)),0)</f>
        <v/>
      </c>
      <c r="U34" s="70">
        <f>IFERROR(SUMPRODUCT((Payment_Data.$B$6:$B$100="LOAN-004")*(Payment_Data.$J$6:$J$100=U$6)*(Payment_Data.$I$6:$I$100)),0)</f>
        <v/>
      </c>
      <c r="V34" s="70">
        <f>IFERROR(SUMPRODUCT((Payment_Data.$B$6:$B$100="LOAN-004")*(Payment_Data.$J$6:$J$100=V$6)*(Payment_Data.$I$6:$I$100)),0)</f>
        <v/>
      </c>
      <c r="W34" s="70">
        <f>IFERROR(SUMPRODUCT((Payment_Data.$B$6:$B$100="LOAN-004")*(Payment_Data.$J$6:$J$100=W$6)*(Payment_Data.$I$6:$I$100)),0)</f>
        <v/>
      </c>
      <c r="X34" s="71">
        <f>IFERROR(SUMPRODUCT((Payment_Data.$B$6:$B$100="LOAN-004")*(Payment_Data.$J$6:$J$100=X$6)*(Payment_Data.$I$6:$I$100)),0)</f>
        <v/>
      </c>
      <c r="Y34" s="72">
        <f>IFERROR(SUMPRODUCT((Payment_Data.$B$6:$B$100="LOAN-004")*(Payment_Data.$J$6:$J$100=Y$6)*(Payment_Data.$I$6:$I$100)),0)</f>
        <v/>
      </c>
      <c r="Z34" s="70">
        <f>IFERROR(SUMPRODUCT((Payment_Data.$B$6:$B$100="LOAN-004")*(Payment_Data.$J$6:$J$100=Z$6)*(Payment_Data.$I$6:$I$100)),0)</f>
        <v/>
      </c>
      <c r="AA34" s="70">
        <f>IFERROR(SUMPRODUCT((Payment_Data.$B$6:$B$100="LOAN-004")*(Payment_Data.$J$6:$J$100=AA$6)*(Payment_Data.$I$6:$I$100)),0)</f>
        <v/>
      </c>
      <c r="AB34" s="70">
        <f>IFERROR(SUMPRODUCT((Payment_Data.$B$6:$B$100="LOAN-004")*(Payment_Data.$J$6:$J$100=AB$6)*(Payment_Data.$I$6:$I$100)),0)</f>
        <v/>
      </c>
      <c r="AC34" s="70">
        <f>IFERROR(SUMPRODUCT((Payment_Data.$B$6:$B$100="LOAN-004")*(Payment_Data.$J$6:$J$100=AC$6)*(Payment_Data.$I$6:$I$100)),0)</f>
        <v/>
      </c>
      <c r="AD34" s="70">
        <f>IFERROR(SUMPRODUCT((Payment_Data.$B$6:$B$100="LOAN-004")*(Payment_Data.$J$6:$J$100=AD$6)*(Payment_Data.$I$6:$I$100)),0)</f>
        <v/>
      </c>
      <c r="AE34" s="71">
        <f>IFERROR(SUMPRODUCT((Payment_Data.$B$6:$B$100="LOAN-004")*(Payment_Data.$J$6:$J$100=AE$6)*(Payment_Data.$I$6:$I$100)),0)</f>
        <v/>
      </c>
      <c r="AF34" s="72">
        <f>IFERROR(SUMPRODUCT((Payment_Data.$B$6:$B$100="LOAN-004")*(Payment_Data.$J$6:$J$100=AF$6)*(Payment_Data.$I$6:$I$100)),0)</f>
        <v/>
      </c>
      <c r="AG34" s="70">
        <f>IFERROR(SUMPRODUCT((Payment_Data.$B$6:$B$100="LOAN-004")*(Payment_Data.$J$6:$J$100=AG$6)*(Payment_Data.$I$6:$I$100)),0)</f>
        <v/>
      </c>
      <c r="AH34" s="70">
        <f>IFERROR(SUMPRODUCT((Payment_Data.$B$6:$B$100="LOAN-004")*(Payment_Data.$J$6:$J$100=AH$6)*(Payment_Data.$I$6:$I$100)),0)</f>
        <v/>
      </c>
      <c r="AI34" s="70">
        <f>IFERROR(SUMPRODUCT((Payment_Data.$B$6:$B$100="LOAN-004")*(Payment_Data.$J$6:$J$100=AI$6)*(Payment_Data.$I$6:$I$100)),0)</f>
        <v/>
      </c>
      <c r="AJ34" s="70">
        <f>IFERROR(SUMPRODUCT((Payment_Data.$B$6:$B$100="LOAN-004")*(Payment_Data.$J$6:$J$100=AJ$6)*(Payment_Data.$I$6:$I$100)),0)</f>
        <v/>
      </c>
      <c r="AK34" s="70">
        <f>IFERROR(SUMPRODUCT((Payment_Data.$B$6:$B$100="LOAN-004")*(Payment_Data.$J$6:$J$100=AK$6)*(Payment_Data.$I$6:$I$100)),0)</f>
        <v/>
      </c>
      <c r="AL34" s="71">
        <f>IFERROR(SUMPRODUCT((Payment_Data.$B$6:$B$100="LOAN-004")*(Payment_Data.$J$6:$J$100=AL$6)*(Payment_Data.$I$6:$I$100)),0)</f>
        <v/>
      </c>
      <c r="AM34" s="72">
        <f>IFERROR(SUMPRODUCT((Payment_Data.$B$6:$B$100="LOAN-004")*(Payment_Data.$J$6:$J$100=AM$6)*(Payment_Data.$I$6:$I$100)),0)</f>
        <v/>
      </c>
      <c r="AN34" s="70">
        <f>IFERROR(SUMPRODUCT((Payment_Data.$B$6:$B$100="LOAN-004")*(Payment_Data.$J$6:$J$100=AN$6)*(Payment_Data.$I$6:$I$100)),0)</f>
        <v/>
      </c>
      <c r="AO34" s="70">
        <f>IFERROR(SUMPRODUCT((Payment_Data.$B$6:$B$100="LOAN-004")*(Payment_Data.$J$6:$J$100=AO$6)*(Payment_Data.$I$6:$I$100)),0)</f>
        <v/>
      </c>
      <c r="AP34" s="70">
        <f>IFERROR(SUMPRODUCT((Payment_Data.$B$6:$B$100="LOAN-004")*(Payment_Data.$J$6:$J$100=AP$6)*(Payment_Data.$I$6:$I$100)),0)</f>
        <v/>
      </c>
      <c r="AQ34" s="70">
        <f>IFERROR(SUMPRODUCT((Payment_Data.$B$6:$B$100="LOAN-004")*(Payment_Data.$J$6:$J$100=AQ$6)*(Payment_Data.$I$6:$I$100)),0)</f>
        <v/>
      </c>
      <c r="AR34" s="70">
        <f>IFERROR(SUMPRODUCT((Payment_Data.$B$6:$B$100="LOAN-004")*(Payment_Data.$J$6:$J$100=AR$6)*(Payment_Data.$I$6:$I$100)),0)</f>
        <v/>
      </c>
      <c r="AS34" s="71">
        <f>IFERROR(SUMPRODUCT((Payment_Data.$B$6:$B$100="LOAN-004")*(Payment_Data.$J$6:$J$100=AS$6)*(Payment_Data.$I$6:$I$100)),0)</f>
        <v/>
      </c>
      <c r="AT34" s="72">
        <f>IFERROR(SUMPRODUCT((Payment_Data.$B$6:$B$100="LOAN-004")*(Payment_Data.$J$6:$J$100=AT$6)*(Payment_Data.$I$6:$I$100)),0)</f>
        <v/>
      </c>
      <c r="AU34" s="70">
        <f>IFERROR(SUMPRODUCT((Payment_Data.$B$6:$B$100="LOAN-004")*(Payment_Data.$J$6:$J$100=AU$6)*(Payment_Data.$I$6:$I$100)),0)</f>
        <v/>
      </c>
      <c r="AV34" s="70">
        <f>IFERROR(SUMPRODUCT((Payment_Data.$B$6:$B$100="LOAN-004")*(Payment_Data.$J$6:$J$100=AV$6)*(Payment_Data.$I$6:$I$100)),0)</f>
        <v/>
      </c>
      <c r="AW34" s="70">
        <f>IFERROR(SUMPRODUCT((Payment_Data.$B$6:$B$100="LOAN-004")*(Payment_Data.$J$6:$J$100=AW$6)*(Payment_Data.$I$6:$I$100)),0)</f>
        <v/>
      </c>
      <c r="AX34" s="70">
        <f>IFERROR(SUMPRODUCT((Payment_Data.$B$6:$B$100="LOAN-004")*(Payment_Data.$J$6:$J$100=AX$6)*(Payment_Data.$I$6:$I$100)),0)</f>
        <v/>
      </c>
      <c r="AY34" s="70">
        <f>IFERROR(SUMPRODUCT((Payment_Data.$B$6:$B$100="LOAN-004")*(Payment_Data.$J$6:$J$100=AY$6)*(Payment_Data.$I$6:$I$100)),0)</f>
        <v/>
      </c>
      <c r="AZ34" s="71">
        <f>IFERROR(SUMPRODUCT((Payment_Data.$B$6:$B$100="LOAN-004")*(Payment_Data.$J$6:$J$100=AZ$6)*(Payment_Data.$I$6:$I$100)),0)</f>
        <v/>
      </c>
      <c r="BA34" s="72">
        <f>IFERROR(SUMPRODUCT((Payment_Data.$B$6:$B$100="LOAN-004")*(Payment_Data.$J$6:$J$100=BA$6)*(Payment_Data.$I$6:$I$100)),0)</f>
        <v/>
      </c>
      <c r="BB34" s="70">
        <f>IFERROR(SUMPRODUCT((Payment_Data.$B$6:$B$100="LOAN-004")*(Payment_Data.$J$6:$J$100=BB$6)*(Payment_Data.$I$6:$I$100)),0)</f>
        <v/>
      </c>
      <c r="BC34" s="70">
        <f>IFERROR(SUMPRODUCT((Payment_Data.$B$6:$B$100="LOAN-004")*(Payment_Data.$J$6:$J$100=BC$6)*(Payment_Data.$I$6:$I$100)),0)</f>
        <v/>
      </c>
      <c r="BD34" s="70">
        <f>IFERROR(SUMPRODUCT((Payment_Data.$B$6:$B$100="LOAN-004")*(Payment_Data.$J$6:$J$100=BD$6)*(Payment_Data.$I$6:$I$100)),0)</f>
        <v/>
      </c>
      <c r="BE34" s="70">
        <f>IFERROR(SUMPRODUCT((Payment_Data.$B$6:$B$100="LOAN-004")*(Payment_Data.$J$6:$J$100=BE$6)*(Payment_Data.$I$6:$I$100)),0)</f>
        <v/>
      </c>
      <c r="BF34" s="70">
        <f>IFERROR(SUMPRODUCT((Payment_Data.$B$6:$B$100="LOAN-004")*(Payment_Data.$J$6:$J$100=BF$6)*(Payment_Data.$I$6:$I$100)),0)</f>
        <v/>
      </c>
      <c r="BG34" s="71">
        <f>IFERROR(SUMPRODUCT((Payment_Data.$B$6:$B$100="LOAN-004")*(Payment_Data.$J$6:$J$100=BG$6)*(Payment_Data.$I$6:$I$100)),0)</f>
        <v/>
      </c>
      <c r="BH34" s="72">
        <f>IFERROR(SUMPRODUCT((Payment_Data.$B$6:$B$100="LOAN-004")*(Payment_Data.$J$6:$J$100=BH$6)*(Payment_Data.$I$6:$I$100)),0)</f>
        <v/>
      </c>
      <c r="BI34" s="70">
        <f>IFERROR(SUMPRODUCT((Payment_Data.$B$6:$B$100="LOAN-004")*(Payment_Data.$J$6:$J$100=BI$6)*(Payment_Data.$I$6:$I$100)),0)</f>
        <v/>
      </c>
      <c r="BJ34" s="70">
        <f>IFERROR(SUMPRODUCT((Payment_Data.$B$6:$B$100="LOAN-004")*(Payment_Data.$J$6:$J$100=BJ$6)*(Payment_Data.$I$6:$I$100)),0)</f>
        <v/>
      </c>
      <c r="BK34" s="70">
        <f>IFERROR(SUMPRODUCT((Payment_Data.$B$6:$B$100="LOAN-004")*(Payment_Data.$J$6:$J$100=BK$6)*(Payment_Data.$I$6:$I$100)),0)</f>
        <v/>
      </c>
      <c r="BL34" s="70">
        <f>IFERROR(SUMPRODUCT((Payment_Data.$B$6:$B$100="LOAN-004")*(Payment_Data.$J$6:$J$100=BL$6)*(Payment_Data.$I$6:$I$100)),0)</f>
        <v/>
      </c>
    </row>
    <row r="35">
      <c r="A35" s="82" t="inlineStr">
        <is>
          <t>LOAN</t>
        </is>
      </c>
      <c r="B35" s="32" t="inlineStr">
        <is>
          <t>Emirates NBD</t>
        </is>
      </c>
      <c r="C35" s="10" t="inlineStr">
        <is>
          <t>AED</t>
        </is>
      </c>
      <c r="D35" s="10">
        <f>IFERROR(INDEX(Payment_Data.$L$6:$L$100,MATCH("LOAN-005",Payment_Data.$B$6:$B$100,0)),"")</f>
        <v/>
      </c>
      <c r="E35" s="70">
        <f>IFERROR(SUMPRODUCT((Payment_Data.$B$6:$B$100="LOAN-005")*(Payment_Data.$J$6:$J$100=E$6)*(Payment_Data.$I$6:$I$100)),0)</f>
        <v/>
      </c>
      <c r="F35" s="70">
        <f>IFERROR(SUMPRODUCT((Payment_Data.$B$6:$B$100="LOAN-005")*(Payment_Data.$J$6:$J$100=F$6)*(Payment_Data.$I$6:$I$100)),0)</f>
        <v/>
      </c>
      <c r="G35" s="70">
        <f>IFERROR(SUMPRODUCT((Payment_Data.$B$6:$B$100="LOAN-005")*(Payment_Data.$J$6:$J$100=G$6)*(Payment_Data.$I$6:$I$100)),0)</f>
        <v/>
      </c>
      <c r="H35" s="70">
        <f>IFERROR(SUMPRODUCT((Payment_Data.$B$6:$B$100="LOAN-005")*(Payment_Data.$J$6:$J$100=H$6)*(Payment_Data.$I$6:$I$100)),0)</f>
        <v/>
      </c>
      <c r="I35" s="70">
        <f>IFERROR(SUMPRODUCT((Payment_Data.$B$6:$B$100="LOAN-005")*(Payment_Data.$J$6:$J$100=I$6)*(Payment_Data.$I$6:$I$100)),0)</f>
        <v/>
      </c>
      <c r="J35" s="71">
        <f>IFERROR(SUMPRODUCT((Payment_Data.$B$6:$B$100="LOAN-005")*(Payment_Data.$J$6:$J$100=J$6)*(Payment_Data.$I$6:$I$100)),0)</f>
        <v/>
      </c>
      <c r="K35" s="72">
        <f>IFERROR(SUMPRODUCT((Payment_Data.$B$6:$B$100="LOAN-005")*(Payment_Data.$J$6:$J$100=K$6)*(Payment_Data.$I$6:$I$100)),0)</f>
        <v/>
      </c>
      <c r="L35" s="70">
        <f>IFERROR(SUMPRODUCT((Payment_Data.$B$6:$B$100="LOAN-005")*(Payment_Data.$J$6:$J$100=L$6)*(Payment_Data.$I$6:$I$100)),0)</f>
        <v/>
      </c>
      <c r="M35" s="70">
        <f>IFERROR(SUMPRODUCT((Payment_Data.$B$6:$B$100="LOAN-005")*(Payment_Data.$J$6:$J$100=M$6)*(Payment_Data.$I$6:$I$100)),0)</f>
        <v/>
      </c>
      <c r="N35" s="70">
        <f>IFERROR(SUMPRODUCT((Payment_Data.$B$6:$B$100="LOAN-005")*(Payment_Data.$J$6:$J$100=N$6)*(Payment_Data.$I$6:$I$100)),0)</f>
        <v/>
      </c>
      <c r="O35" s="70">
        <f>IFERROR(SUMPRODUCT((Payment_Data.$B$6:$B$100="LOAN-005")*(Payment_Data.$J$6:$J$100=O$6)*(Payment_Data.$I$6:$I$100)),0)</f>
        <v/>
      </c>
      <c r="P35" s="70">
        <f>IFERROR(SUMPRODUCT((Payment_Data.$B$6:$B$100="LOAN-005")*(Payment_Data.$J$6:$J$100=P$6)*(Payment_Data.$I$6:$I$100)),0)</f>
        <v/>
      </c>
      <c r="Q35" s="71">
        <f>IFERROR(SUMPRODUCT((Payment_Data.$B$6:$B$100="LOAN-005")*(Payment_Data.$J$6:$J$100=Q$6)*(Payment_Data.$I$6:$I$100)),0)</f>
        <v/>
      </c>
      <c r="R35" s="72">
        <f>IFERROR(SUMPRODUCT((Payment_Data.$B$6:$B$100="LOAN-005")*(Payment_Data.$J$6:$J$100=R$6)*(Payment_Data.$I$6:$I$100)),0)</f>
        <v/>
      </c>
      <c r="S35" s="70">
        <f>IFERROR(SUMPRODUCT((Payment_Data.$B$6:$B$100="LOAN-005")*(Payment_Data.$J$6:$J$100=S$6)*(Payment_Data.$I$6:$I$100)),0)</f>
        <v/>
      </c>
      <c r="T35" s="70">
        <f>IFERROR(SUMPRODUCT((Payment_Data.$B$6:$B$100="LOAN-005")*(Payment_Data.$J$6:$J$100=T$6)*(Payment_Data.$I$6:$I$100)),0)</f>
        <v/>
      </c>
      <c r="U35" s="70">
        <f>IFERROR(SUMPRODUCT((Payment_Data.$B$6:$B$100="LOAN-005")*(Payment_Data.$J$6:$J$100=U$6)*(Payment_Data.$I$6:$I$100)),0)</f>
        <v/>
      </c>
      <c r="V35" s="70">
        <f>IFERROR(SUMPRODUCT((Payment_Data.$B$6:$B$100="LOAN-005")*(Payment_Data.$J$6:$J$100=V$6)*(Payment_Data.$I$6:$I$100)),0)</f>
        <v/>
      </c>
      <c r="W35" s="70">
        <f>IFERROR(SUMPRODUCT((Payment_Data.$B$6:$B$100="LOAN-005")*(Payment_Data.$J$6:$J$100=W$6)*(Payment_Data.$I$6:$I$100)),0)</f>
        <v/>
      </c>
      <c r="X35" s="71">
        <f>IFERROR(SUMPRODUCT((Payment_Data.$B$6:$B$100="LOAN-005")*(Payment_Data.$J$6:$J$100=X$6)*(Payment_Data.$I$6:$I$100)),0)</f>
        <v/>
      </c>
      <c r="Y35" s="72">
        <f>IFERROR(SUMPRODUCT((Payment_Data.$B$6:$B$100="LOAN-005")*(Payment_Data.$J$6:$J$100=Y$6)*(Payment_Data.$I$6:$I$100)),0)</f>
        <v/>
      </c>
      <c r="Z35" s="70">
        <f>IFERROR(SUMPRODUCT((Payment_Data.$B$6:$B$100="LOAN-005")*(Payment_Data.$J$6:$J$100=Z$6)*(Payment_Data.$I$6:$I$100)),0)</f>
        <v/>
      </c>
      <c r="AA35" s="70">
        <f>IFERROR(SUMPRODUCT((Payment_Data.$B$6:$B$100="LOAN-005")*(Payment_Data.$J$6:$J$100=AA$6)*(Payment_Data.$I$6:$I$100)),0)</f>
        <v/>
      </c>
      <c r="AB35" s="70">
        <f>IFERROR(SUMPRODUCT((Payment_Data.$B$6:$B$100="LOAN-005")*(Payment_Data.$J$6:$J$100=AB$6)*(Payment_Data.$I$6:$I$100)),0)</f>
        <v/>
      </c>
      <c r="AC35" s="70">
        <f>IFERROR(SUMPRODUCT((Payment_Data.$B$6:$B$100="LOAN-005")*(Payment_Data.$J$6:$J$100=AC$6)*(Payment_Data.$I$6:$I$100)),0)</f>
        <v/>
      </c>
      <c r="AD35" s="70">
        <f>IFERROR(SUMPRODUCT((Payment_Data.$B$6:$B$100="LOAN-005")*(Payment_Data.$J$6:$J$100=AD$6)*(Payment_Data.$I$6:$I$100)),0)</f>
        <v/>
      </c>
      <c r="AE35" s="71">
        <f>IFERROR(SUMPRODUCT((Payment_Data.$B$6:$B$100="LOAN-005")*(Payment_Data.$J$6:$J$100=AE$6)*(Payment_Data.$I$6:$I$100)),0)</f>
        <v/>
      </c>
      <c r="AF35" s="72">
        <f>IFERROR(SUMPRODUCT((Payment_Data.$B$6:$B$100="LOAN-005")*(Payment_Data.$J$6:$J$100=AF$6)*(Payment_Data.$I$6:$I$100)),0)</f>
        <v/>
      </c>
      <c r="AG35" s="70">
        <f>IFERROR(SUMPRODUCT((Payment_Data.$B$6:$B$100="LOAN-005")*(Payment_Data.$J$6:$J$100=AG$6)*(Payment_Data.$I$6:$I$100)),0)</f>
        <v/>
      </c>
      <c r="AH35" s="70">
        <f>IFERROR(SUMPRODUCT((Payment_Data.$B$6:$B$100="LOAN-005")*(Payment_Data.$J$6:$J$100=AH$6)*(Payment_Data.$I$6:$I$100)),0)</f>
        <v/>
      </c>
      <c r="AI35" s="70">
        <f>IFERROR(SUMPRODUCT((Payment_Data.$B$6:$B$100="LOAN-005")*(Payment_Data.$J$6:$J$100=AI$6)*(Payment_Data.$I$6:$I$100)),0)</f>
        <v/>
      </c>
      <c r="AJ35" s="70">
        <f>IFERROR(SUMPRODUCT((Payment_Data.$B$6:$B$100="LOAN-005")*(Payment_Data.$J$6:$J$100=AJ$6)*(Payment_Data.$I$6:$I$100)),0)</f>
        <v/>
      </c>
      <c r="AK35" s="70">
        <f>IFERROR(SUMPRODUCT((Payment_Data.$B$6:$B$100="LOAN-005")*(Payment_Data.$J$6:$J$100=AK$6)*(Payment_Data.$I$6:$I$100)),0)</f>
        <v/>
      </c>
      <c r="AL35" s="71">
        <f>IFERROR(SUMPRODUCT((Payment_Data.$B$6:$B$100="LOAN-005")*(Payment_Data.$J$6:$J$100=AL$6)*(Payment_Data.$I$6:$I$100)),0)</f>
        <v/>
      </c>
      <c r="AM35" s="72">
        <f>IFERROR(SUMPRODUCT((Payment_Data.$B$6:$B$100="LOAN-005")*(Payment_Data.$J$6:$J$100=AM$6)*(Payment_Data.$I$6:$I$100)),0)</f>
        <v/>
      </c>
      <c r="AN35" s="70">
        <f>IFERROR(SUMPRODUCT((Payment_Data.$B$6:$B$100="LOAN-005")*(Payment_Data.$J$6:$J$100=AN$6)*(Payment_Data.$I$6:$I$100)),0)</f>
        <v/>
      </c>
      <c r="AO35" s="70">
        <f>IFERROR(SUMPRODUCT((Payment_Data.$B$6:$B$100="LOAN-005")*(Payment_Data.$J$6:$J$100=AO$6)*(Payment_Data.$I$6:$I$100)),0)</f>
        <v/>
      </c>
      <c r="AP35" s="70">
        <f>IFERROR(SUMPRODUCT((Payment_Data.$B$6:$B$100="LOAN-005")*(Payment_Data.$J$6:$J$100=AP$6)*(Payment_Data.$I$6:$I$100)),0)</f>
        <v/>
      </c>
      <c r="AQ35" s="70">
        <f>IFERROR(SUMPRODUCT((Payment_Data.$B$6:$B$100="LOAN-005")*(Payment_Data.$J$6:$J$100=AQ$6)*(Payment_Data.$I$6:$I$100)),0)</f>
        <v/>
      </c>
      <c r="AR35" s="70">
        <f>IFERROR(SUMPRODUCT((Payment_Data.$B$6:$B$100="LOAN-005")*(Payment_Data.$J$6:$J$100=AR$6)*(Payment_Data.$I$6:$I$100)),0)</f>
        <v/>
      </c>
      <c r="AS35" s="71">
        <f>IFERROR(SUMPRODUCT((Payment_Data.$B$6:$B$100="LOAN-005")*(Payment_Data.$J$6:$J$100=AS$6)*(Payment_Data.$I$6:$I$100)),0)</f>
        <v/>
      </c>
      <c r="AT35" s="72">
        <f>IFERROR(SUMPRODUCT((Payment_Data.$B$6:$B$100="LOAN-005")*(Payment_Data.$J$6:$J$100=AT$6)*(Payment_Data.$I$6:$I$100)),0)</f>
        <v/>
      </c>
      <c r="AU35" s="70">
        <f>IFERROR(SUMPRODUCT((Payment_Data.$B$6:$B$100="LOAN-005")*(Payment_Data.$J$6:$J$100=AU$6)*(Payment_Data.$I$6:$I$100)),0)</f>
        <v/>
      </c>
      <c r="AV35" s="70">
        <f>IFERROR(SUMPRODUCT((Payment_Data.$B$6:$B$100="LOAN-005")*(Payment_Data.$J$6:$J$100=AV$6)*(Payment_Data.$I$6:$I$100)),0)</f>
        <v/>
      </c>
      <c r="AW35" s="70">
        <f>IFERROR(SUMPRODUCT((Payment_Data.$B$6:$B$100="LOAN-005")*(Payment_Data.$J$6:$J$100=AW$6)*(Payment_Data.$I$6:$I$100)),0)</f>
        <v/>
      </c>
      <c r="AX35" s="70">
        <f>IFERROR(SUMPRODUCT((Payment_Data.$B$6:$B$100="LOAN-005")*(Payment_Data.$J$6:$J$100=AX$6)*(Payment_Data.$I$6:$I$100)),0)</f>
        <v/>
      </c>
      <c r="AY35" s="70">
        <f>IFERROR(SUMPRODUCT((Payment_Data.$B$6:$B$100="LOAN-005")*(Payment_Data.$J$6:$J$100=AY$6)*(Payment_Data.$I$6:$I$100)),0)</f>
        <v/>
      </c>
      <c r="AZ35" s="71">
        <f>IFERROR(SUMPRODUCT((Payment_Data.$B$6:$B$100="LOAN-005")*(Payment_Data.$J$6:$J$100=AZ$6)*(Payment_Data.$I$6:$I$100)),0)</f>
        <v/>
      </c>
      <c r="BA35" s="72">
        <f>IFERROR(SUMPRODUCT((Payment_Data.$B$6:$B$100="LOAN-005")*(Payment_Data.$J$6:$J$100=BA$6)*(Payment_Data.$I$6:$I$100)),0)</f>
        <v/>
      </c>
      <c r="BB35" s="70">
        <f>IFERROR(SUMPRODUCT((Payment_Data.$B$6:$B$100="LOAN-005")*(Payment_Data.$J$6:$J$100=BB$6)*(Payment_Data.$I$6:$I$100)),0)</f>
        <v/>
      </c>
      <c r="BC35" s="70">
        <f>IFERROR(SUMPRODUCT((Payment_Data.$B$6:$B$100="LOAN-005")*(Payment_Data.$J$6:$J$100=BC$6)*(Payment_Data.$I$6:$I$100)),0)</f>
        <v/>
      </c>
      <c r="BD35" s="70">
        <f>IFERROR(SUMPRODUCT((Payment_Data.$B$6:$B$100="LOAN-005")*(Payment_Data.$J$6:$J$100=BD$6)*(Payment_Data.$I$6:$I$100)),0)</f>
        <v/>
      </c>
      <c r="BE35" s="70">
        <f>IFERROR(SUMPRODUCT((Payment_Data.$B$6:$B$100="LOAN-005")*(Payment_Data.$J$6:$J$100=BE$6)*(Payment_Data.$I$6:$I$100)),0)</f>
        <v/>
      </c>
      <c r="BF35" s="70">
        <f>IFERROR(SUMPRODUCT((Payment_Data.$B$6:$B$100="LOAN-005")*(Payment_Data.$J$6:$J$100=BF$6)*(Payment_Data.$I$6:$I$100)),0)</f>
        <v/>
      </c>
      <c r="BG35" s="71">
        <f>IFERROR(SUMPRODUCT((Payment_Data.$B$6:$B$100="LOAN-005")*(Payment_Data.$J$6:$J$100=BG$6)*(Payment_Data.$I$6:$I$100)),0)</f>
        <v/>
      </c>
      <c r="BH35" s="72">
        <f>IFERROR(SUMPRODUCT((Payment_Data.$B$6:$B$100="LOAN-005")*(Payment_Data.$J$6:$J$100=BH$6)*(Payment_Data.$I$6:$I$100)),0)</f>
        <v/>
      </c>
      <c r="BI35" s="70">
        <f>IFERROR(SUMPRODUCT((Payment_Data.$B$6:$B$100="LOAN-005")*(Payment_Data.$J$6:$J$100=BI$6)*(Payment_Data.$I$6:$I$100)),0)</f>
        <v/>
      </c>
      <c r="BJ35" s="70">
        <f>IFERROR(SUMPRODUCT((Payment_Data.$B$6:$B$100="LOAN-005")*(Payment_Data.$J$6:$J$100=BJ$6)*(Payment_Data.$I$6:$I$100)),0)</f>
        <v/>
      </c>
      <c r="BK35" s="70">
        <f>IFERROR(SUMPRODUCT((Payment_Data.$B$6:$B$100="LOAN-005")*(Payment_Data.$J$6:$J$100=BK$6)*(Payment_Data.$I$6:$I$100)),0)</f>
        <v/>
      </c>
      <c r="BL35" s="70">
        <f>IFERROR(SUMPRODUCT((Payment_Data.$B$6:$B$100="LOAN-005")*(Payment_Data.$J$6:$J$100=BL$6)*(Payment_Data.$I$6:$I$100)),0)</f>
        <v/>
      </c>
    </row>
    <row r="36">
      <c r="A36" s="66" t="inlineStr">
        <is>
          <t>OPERATING EXPENSES</t>
        </is>
      </c>
      <c r="B36" s="94" t="n"/>
      <c r="C36" s="94" t="n"/>
      <c r="D36" s="95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7" t="n"/>
      <c r="AI36" s="67" t="n"/>
      <c r="AJ36" s="67" t="n"/>
      <c r="AK36" s="67" t="n"/>
      <c r="AL36" s="67" t="n"/>
      <c r="AM36" s="67" t="n"/>
      <c r="AN36" s="67" t="n"/>
      <c r="AO36" s="67" t="n"/>
      <c r="AP36" s="67" t="n"/>
      <c r="AQ36" s="67" t="n"/>
      <c r="AR36" s="67" t="n"/>
      <c r="AS36" s="67" t="n"/>
      <c r="AT36" s="67" t="n"/>
      <c r="AU36" s="67" t="n"/>
      <c r="AV36" s="67" t="n"/>
      <c r="AW36" s="67" t="n"/>
      <c r="AX36" s="67" t="n"/>
      <c r="AY36" s="67" t="n"/>
      <c r="AZ36" s="67" t="n"/>
      <c r="BA36" s="67" t="n"/>
      <c r="BB36" s="67" t="n"/>
      <c r="BC36" s="67" t="n"/>
      <c r="BD36" s="67" t="n"/>
      <c r="BE36" s="67" t="n"/>
      <c r="BF36" s="67" t="n"/>
      <c r="BG36" s="67" t="n"/>
      <c r="BH36" s="67" t="n"/>
      <c r="BI36" s="67" t="n"/>
      <c r="BJ36" s="67" t="n"/>
      <c r="BK36" s="67" t="n"/>
      <c r="BL36" s="67" t="n"/>
    </row>
    <row r="37">
      <c r="A37" s="83" t="inlineStr">
        <is>
          <t>OPEX</t>
        </is>
      </c>
      <c r="B37" s="32" t="inlineStr">
        <is>
          <t>Property Management Co</t>
        </is>
      </c>
      <c r="C37" s="10" t="inlineStr">
        <is>
          <t>SAR</t>
        </is>
      </c>
      <c r="D37" s="10">
        <f>IFERROR(INDEX(Payment_Data.$L$6:$L$100,MATCH("OPS-001",Payment_Data.$B$6:$B$100,0)),"")</f>
        <v/>
      </c>
      <c r="E37" s="70">
        <f>IFERROR(SUMPRODUCT((Payment_Data.$B$6:$B$100="OPS-001")*(Payment_Data.$J$6:$J$100=E$6)*(Payment_Data.$I$6:$I$100)),0)</f>
        <v/>
      </c>
      <c r="F37" s="70">
        <f>IFERROR(SUMPRODUCT((Payment_Data.$B$6:$B$100="OPS-001")*(Payment_Data.$J$6:$J$100=F$6)*(Payment_Data.$I$6:$I$100)),0)</f>
        <v/>
      </c>
      <c r="G37" s="70">
        <f>IFERROR(SUMPRODUCT((Payment_Data.$B$6:$B$100="OPS-001")*(Payment_Data.$J$6:$J$100=G$6)*(Payment_Data.$I$6:$I$100)),0)</f>
        <v/>
      </c>
      <c r="H37" s="70">
        <f>IFERROR(SUMPRODUCT((Payment_Data.$B$6:$B$100="OPS-001")*(Payment_Data.$J$6:$J$100=H$6)*(Payment_Data.$I$6:$I$100)),0)</f>
        <v/>
      </c>
      <c r="I37" s="70">
        <f>IFERROR(SUMPRODUCT((Payment_Data.$B$6:$B$100="OPS-001")*(Payment_Data.$J$6:$J$100=I$6)*(Payment_Data.$I$6:$I$100)),0)</f>
        <v/>
      </c>
      <c r="J37" s="71">
        <f>IFERROR(SUMPRODUCT((Payment_Data.$B$6:$B$100="OPS-001")*(Payment_Data.$J$6:$J$100=J$6)*(Payment_Data.$I$6:$I$100)),0)</f>
        <v/>
      </c>
      <c r="K37" s="72">
        <f>IFERROR(SUMPRODUCT((Payment_Data.$B$6:$B$100="OPS-001")*(Payment_Data.$J$6:$J$100=K$6)*(Payment_Data.$I$6:$I$100)),0)</f>
        <v/>
      </c>
      <c r="L37" s="70">
        <f>IFERROR(SUMPRODUCT((Payment_Data.$B$6:$B$100="OPS-001")*(Payment_Data.$J$6:$J$100=L$6)*(Payment_Data.$I$6:$I$100)),0)</f>
        <v/>
      </c>
      <c r="M37" s="70">
        <f>IFERROR(SUMPRODUCT((Payment_Data.$B$6:$B$100="OPS-001")*(Payment_Data.$J$6:$J$100=M$6)*(Payment_Data.$I$6:$I$100)),0)</f>
        <v/>
      </c>
      <c r="N37" s="70">
        <f>IFERROR(SUMPRODUCT((Payment_Data.$B$6:$B$100="OPS-001")*(Payment_Data.$J$6:$J$100=N$6)*(Payment_Data.$I$6:$I$100)),0)</f>
        <v/>
      </c>
      <c r="O37" s="70">
        <f>IFERROR(SUMPRODUCT((Payment_Data.$B$6:$B$100="OPS-001")*(Payment_Data.$J$6:$J$100=O$6)*(Payment_Data.$I$6:$I$100)),0)</f>
        <v/>
      </c>
      <c r="P37" s="70">
        <f>IFERROR(SUMPRODUCT((Payment_Data.$B$6:$B$100="OPS-001")*(Payment_Data.$J$6:$J$100=P$6)*(Payment_Data.$I$6:$I$100)),0)</f>
        <v/>
      </c>
      <c r="Q37" s="71">
        <f>IFERROR(SUMPRODUCT((Payment_Data.$B$6:$B$100="OPS-001")*(Payment_Data.$J$6:$J$100=Q$6)*(Payment_Data.$I$6:$I$100)),0)</f>
        <v/>
      </c>
      <c r="R37" s="72">
        <f>IFERROR(SUMPRODUCT((Payment_Data.$B$6:$B$100="OPS-001")*(Payment_Data.$J$6:$J$100=R$6)*(Payment_Data.$I$6:$I$100)),0)</f>
        <v/>
      </c>
      <c r="S37" s="70">
        <f>IFERROR(SUMPRODUCT((Payment_Data.$B$6:$B$100="OPS-001")*(Payment_Data.$J$6:$J$100=S$6)*(Payment_Data.$I$6:$I$100)),0)</f>
        <v/>
      </c>
      <c r="T37" s="70">
        <f>IFERROR(SUMPRODUCT((Payment_Data.$B$6:$B$100="OPS-001")*(Payment_Data.$J$6:$J$100=T$6)*(Payment_Data.$I$6:$I$100)),0)</f>
        <v/>
      </c>
      <c r="U37" s="70">
        <f>IFERROR(SUMPRODUCT((Payment_Data.$B$6:$B$100="OPS-001")*(Payment_Data.$J$6:$J$100=U$6)*(Payment_Data.$I$6:$I$100)),0)</f>
        <v/>
      </c>
      <c r="V37" s="70">
        <f>IFERROR(SUMPRODUCT((Payment_Data.$B$6:$B$100="OPS-001")*(Payment_Data.$J$6:$J$100=V$6)*(Payment_Data.$I$6:$I$100)),0)</f>
        <v/>
      </c>
      <c r="W37" s="70">
        <f>IFERROR(SUMPRODUCT((Payment_Data.$B$6:$B$100="OPS-001")*(Payment_Data.$J$6:$J$100=W$6)*(Payment_Data.$I$6:$I$100)),0)</f>
        <v/>
      </c>
      <c r="X37" s="71">
        <f>IFERROR(SUMPRODUCT((Payment_Data.$B$6:$B$100="OPS-001")*(Payment_Data.$J$6:$J$100=X$6)*(Payment_Data.$I$6:$I$100)),0)</f>
        <v/>
      </c>
      <c r="Y37" s="72">
        <f>IFERROR(SUMPRODUCT((Payment_Data.$B$6:$B$100="OPS-001")*(Payment_Data.$J$6:$J$100=Y$6)*(Payment_Data.$I$6:$I$100)),0)</f>
        <v/>
      </c>
      <c r="Z37" s="70">
        <f>IFERROR(SUMPRODUCT((Payment_Data.$B$6:$B$100="OPS-001")*(Payment_Data.$J$6:$J$100=Z$6)*(Payment_Data.$I$6:$I$100)),0)</f>
        <v/>
      </c>
      <c r="AA37" s="70">
        <f>IFERROR(SUMPRODUCT((Payment_Data.$B$6:$B$100="OPS-001")*(Payment_Data.$J$6:$J$100=AA$6)*(Payment_Data.$I$6:$I$100)),0)</f>
        <v/>
      </c>
      <c r="AB37" s="70">
        <f>IFERROR(SUMPRODUCT((Payment_Data.$B$6:$B$100="OPS-001")*(Payment_Data.$J$6:$J$100=AB$6)*(Payment_Data.$I$6:$I$100)),0)</f>
        <v/>
      </c>
      <c r="AC37" s="70">
        <f>IFERROR(SUMPRODUCT((Payment_Data.$B$6:$B$100="OPS-001")*(Payment_Data.$J$6:$J$100=AC$6)*(Payment_Data.$I$6:$I$100)),0)</f>
        <v/>
      </c>
      <c r="AD37" s="70">
        <f>IFERROR(SUMPRODUCT((Payment_Data.$B$6:$B$100="OPS-001")*(Payment_Data.$J$6:$J$100=AD$6)*(Payment_Data.$I$6:$I$100)),0)</f>
        <v/>
      </c>
      <c r="AE37" s="71">
        <f>IFERROR(SUMPRODUCT((Payment_Data.$B$6:$B$100="OPS-001")*(Payment_Data.$J$6:$J$100=AE$6)*(Payment_Data.$I$6:$I$100)),0)</f>
        <v/>
      </c>
      <c r="AF37" s="72">
        <f>IFERROR(SUMPRODUCT((Payment_Data.$B$6:$B$100="OPS-001")*(Payment_Data.$J$6:$J$100=AF$6)*(Payment_Data.$I$6:$I$100)),0)</f>
        <v/>
      </c>
      <c r="AG37" s="70">
        <f>IFERROR(SUMPRODUCT((Payment_Data.$B$6:$B$100="OPS-001")*(Payment_Data.$J$6:$J$100=AG$6)*(Payment_Data.$I$6:$I$100)),0)</f>
        <v/>
      </c>
      <c r="AH37" s="70">
        <f>IFERROR(SUMPRODUCT((Payment_Data.$B$6:$B$100="OPS-001")*(Payment_Data.$J$6:$J$100=AH$6)*(Payment_Data.$I$6:$I$100)),0)</f>
        <v/>
      </c>
      <c r="AI37" s="70">
        <f>IFERROR(SUMPRODUCT((Payment_Data.$B$6:$B$100="OPS-001")*(Payment_Data.$J$6:$J$100=AI$6)*(Payment_Data.$I$6:$I$100)),0)</f>
        <v/>
      </c>
      <c r="AJ37" s="70">
        <f>IFERROR(SUMPRODUCT((Payment_Data.$B$6:$B$100="OPS-001")*(Payment_Data.$J$6:$J$100=AJ$6)*(Payment_Data.$I$6:$I$100)),0)</f>
        <v/>
      </c>
      <c r="AK37" s="70">
        <f>IFERROR(SUMPRODUCT((Payment_Data.$B$6:$B$100="OPS-001")*(Payment_Data.$J$6:$J$100=AK$6)*(Payment_Data.$I$6:$I$100)),0)</f>
        <v/>
      </c>
      <c r="AL37" s="71">
        <f>IFERROR(SUMPRODUCT((Payment_Data.$B$6:$B$100="OPS-001")*(Payment_Data.$J$6:$J$100=AL$6)*(Payment_Data.$I$6:$I$100)),0)</f>
        <v/>
      </c>
      <c r="AM37" s="72">
        <f>IFERROR(SUMPRODUCT((Payment_Data.$B$6:$B$100="OPS-001")*(Payment_Data.$J$6:$J$100=AM$6)*(Payment_Data.$I$6:$I$100)),0)</f>
        <v/>
      </c>
      <c r="AN37" s="70">
        <f>IFERROR(SUMPRODUCT((Payment_Data.$B$6:$B$100="OPS-001")*(Payment_Data.$J$6:$J$100=AN$6)*(Payment_Data.$I$6:$I$100)),0)</f>
        <v/>
      </c>
      <c r="AO37" s="70">
        <f>IFERROR(SUMPRODUCT((Payment_Data.$B$6:$B$100="OPS-001")*(Payment_Data.$J$6:$J$100=AO$6)*(Payment_Data.$I$6:$I$100)),0)</f>
        <v/>
      </c>
      <c r="AP37" s="70">
        <f>IFERROR(SUMPRODUCT((Payment_Data.$B$6:$B$100="OPS-001")*(Payment_Data.$J$6:$J$100=AP$6)*(Payment_Data.$I$6:$I$100)),0)</f>
        <v/>
      </c>
      <c r="AQ37" s="70">
        <f>IFERROR(SUMPRODUCT((Payment_Data.$B$6:$B$100="OPS-001")*(Payment_Data.$J$6:$J$100=AQ$6)*(Payment_Data.$I$6:$I$100)),0)</f>
        <v/>
      </c>
      <c r="AR37" s="70">
        <f>IFERROR(SUMPRODUCT((Payment_Data.$B$6:$B$100="OPS-001")*(Payment_Data.$J$6:$J$100=AR$6)*(Payment_Data.$I$6:$I$100)),0)</f>
        <v/>
      </c>
      <c r="AS37" s="71">
        <f>IFERROR(SUMPRODUCT((Payment_Data.$B$6:$B$100="OPS-001")*(Payment_Data.$J$6:$J$100=AS$6)*(Payment_Data.$I$6:$I$100)),0)</f>
        <v/>
      </c>
      <c r="AT37" s="72">
        <f>IFERROR(SUMPRODUCT((Payment_Data.$B$6:$B$100="OPS-001")*(Payment_Data.$J$6:$J$100=AT$6)*(Payment_Data.$I$6:$I$100)),0)</f>
        <v/>
      </c>
      <c r="AU37" s="70">
        <f>IFERROR(SUMPRODUCT((Payment_Data.$B$6:$B$100="OPS-001")*(Payment_Data.$J$6:$J$100=AU$6)*(Payment_Data.$I$6:$I$100)),0)</f>
        <v/>
      </c>
      <c r="AV37" s="70">
        <f>IFERROR(SUMPRODUCT((Payment_Data.$B$6:$B$100="OPS-001")*(Payment_Data.$J$6:$J$100=AV$6)*(Payment_Data.$I$6:$I$100)),0)</f>
        <v/>
      </c>
      <c r="AW37" s="70">
        <f>IFERROR(SUMPRODUCT((Payment_Data.$B$6:$B$100="OPS-001")*(Payment_Data.$J$6:$J$100=AW$6)*(Payment_Data.$I$6:$I$100)),0)</f>
        <v/>
      </c>
      <c r="AX37" s="70">
        <f>IFERROR(SUMPRODUCT((Payment_Data.$B$6:$B$100="OPS-001")*(Payment_Data.$J$6:$J$100=AX$6)*(Payment_Data.$I$6:$I$100)),0)</f>
        <v/>
      </c>
      <c r="AY37" s="70">
        <f>IFERROR(SUMPRODUCT((Payment_Data.$B$6:$B$100="OPS-001")*(Payment_Data.$J$6:$J$100=AY$6)*(Payment_Data.$I$6:$I$100)),0)</f>
        <v/>
      </c>
      <c r="AZ37" s="71">
        <f>IFERROR(SUMPRODUCT((Payment_Data.$B$6:$B$100="OPS-001")*(Payment_Data.$J$6:$J$100=AZ$6)*(Payment_Data.$I$6:$I$100)),0)</f>
        <v/>
      </c>
      <c r="BA37" s="72">
        <f>IFERROR(SUMPRODUCT((Payment_Data.$B$6:$B$100="OPS-001")*(Payment_Data.$J$6:$J$100=BA$6)*(Payment_Data.$I$6:$I$100)),0)</f>
        <v/>
      </c>
      <c r="BB37" s="70">
        <f>IFERROR(SUMPRODUCT((Payment_Data.$B$6:$B$100="OPS-001")*(Payment_Data.$J$6:$J$100=BB$6)*(Payment_Data.$I$6:$I$100)),0)</f>
        <v/>
      </c>
      <c r="BC37" s="70">
        <f>IFERROR(SUMPRODUCT((Payment_Data.$B$6:$B$100="OPS-001")*(Payment_Data.$J$6:$J$100=BC$6)*(Payment_Data.$I$6:$I$100)),0)</f>
        <v/>
      </c>
      <c r="BD37" s="70">
        <f>IFERROR(SUMPRODUCT((Payment_Data.$B$6:$B$100="OPS-001")*(Payment_Data.$J$6:$J$100=BD$6)*(Payment_Data.$I$6:$I$100)),0)</f>
        <v/>
      </c>
      <c r="BE37" s="70">
        <f>IFERROR(SUMPRODUCT((Payment_Data.$B$6:$B$100="OPS-001")*(Payment_Data.$J$6:$J$100=BE$6)*(Payment_Data.$I$6:$I$100)),0)</f>
        <v/>
      </c>
      <c r="BF37" s="70">
        <f>IFERROR(SUMPRODUCT((Payment_Data.$B$6:$B$100="OPS-001")*(Payment_Data.$J$6:$J$100=BF$6)*(Payment_Data.$I$6:$I$100)),0)</f>
        <v/>
      </c>
      <c r="BG37" s="71">
        <f>IFERROR(SUMPRODUCT((Payment_Data.$B$6:$B$100="OPS-001")*(Payment_Data.$J$6:$J$100=BG$6)*(Payment_Data.$I$6:$I$100)),0)</f>
        <v/>
      </c>
      <c r="BH37" s="72">
        <f>IFERROR(SUMPRODUCT((Payment_Data.$B$6:$B$100="OPS-001")*(Payment_Data.$J$6:$J$100=BH$6)*(Payment_Data.$I$6:$I$100)),0)</f>
        <v/>
      </c>
      <c r="BI37" s="70">
        <f>IFERROR(SUMPRODUCT((Payment_Data.$B$6:$B$100="OPS-001")*(Payment_Data.$J$6:$J$100=BI$6)*(Payment_Data.$I$6:$I$100)),0)</f>
        <v/>
      </c>
      <c r="BJ37" s="70">
        <f>IFERROR(SUMPRODUCT((Payment_Data.$B$6:$B$100="OPS-001")*(Payment_Data.$J$6:$J$100=BJ$6)*(Payment_Data.$I$6:$I$100)),0)</f>
        <v/>
      </c>
      <c r="BK37" s="70">
        <f>IFERROR(SUMPRODUCT((Payment_Data.$B$6:$B$100="OPS-001")*(Payment_Data.$J$6:$J$100=BK$6)*(Payment_Data.$I$6:$I$100)),0)</f>
        <v/>
      </c>
      <c r="BL37" s="70">
        <f>IFERROR(SUMPRODUCT((Payment_Data.$B$6:$B$100="OPS-001")*(Payment_Data.$J$6:$J$100=BL$6)*(Payment_Data.$I$6:$I$100)),0)</f>
        <v/>
      </c>
    </row>
    <row r="38">
      <c r="A38" s="83" t="inlineStr">
        <is>
          <t>OPEX</t>
        </is>
      </c>
      <c r="B38" s="32" t="inlineStr">
        <is>
          <t>Security Services Co</t>
        </is>
      </c>
      <c r="C38" s="10" t="inlineStr">
        <is>
          <t>SAR</t>
        </is>
      </c>
      <c r="D38" s="10">
        <f>IFERROR(INDEX(Payment_Data.$L$6:$L$100,MATCH("OPS-002",Payment_Data.$B$6:$B$100,0)),"")</f>
        <v/>
      </c>
      <c r="E38" s="70">
        <f>IFERROR(SUMPRODUCT((Payment_Data.$B$6:$B$100="OPS-002")*(Payment_Data.$J$6:$J$100=E$6)*(Payment_Data.$I$6:$I$100)),0)</f>
        <v/>
      </c>
      <c r="F38" s="70">
        <f>IFERROR(SUMPRODUCT((Payment_Data.$B$6:$B$100="OPS-002")*(Payment_Data.$J$6:$J$100=F$6)*(Payment_Data.$I$6:$I$100)),0)</f>
        <v/>
      </c>
      <c r="G38" s="70">
        <f>IFERROR(SUMPRODUCT((Payment_Data.$B$6:$B$100="OPS-002")*(Payment_Data.$J$6:$J$100=G$6)*(Payment_Data.$I$6:$I$100)),0)</f>
        <v/>
      </c>
      <c r="H38" s="70">
        <f>IFERROR(SUMPRODUCT((Payment_Data.$B$6:$B$100="OPS-002")*(Payment_Data.$J$6:$J$100=H$6)*(Payment_Data.$I$6:$I$100)),0)</f>
        <v/>
      </c>
      <c r="I38" s="70">
        <f>IFERROR(SUMPRODUCT((Payment_Data.$B$6:$B$100="OPS-002")*(Payment_Data.$J$6:$J$100=I$6)*(Payment_Data.$I$6:$I$100)),0)</f>
        <v/>
      </c>
      <c r="J38" s="71">
        <f>IFERROR(SUMPRODUCT((Payment_Data.$B$6:$B$100="OPS-002")*(Payment_Data.$J$6:$J$100=J$6)*(Payment_Data.$I$6:$I$100)),0)</f>
        <v/>
      </c>
      <c r="K38" s="72">
        <f>IFERROR(SUMPRODUCT((Payment_Data.$B$6:$B$100="OPS-002")*(Payment_Data.$J$6:$J$100=K$6)*(Payment_Data.$I$6:$I$100)),0)</f>
        <v/>
      </c>
      <c r="L38" s="70">
        <f>IFERROR(SUMPRODUCT((Payment_Data.$B$6:$B$100="OPS-002")*(Payment_Data.$J$6:$J$100=L$6)*(Payment_Data.$I$6:$I$100)),0)</f>
        <v/>
      </c>
      <c r="M38" s="70">
        <f>IFERROR(SUMPRODUCT((Payment_Data.$B$6:$B$100="OPS-002")*(Payment_Data.$J$6:$J$100=M$6)*(Payment_Data.$I$6:$I$100)),0)</f>
        <v/>
      </c>
      <c r="N38" s="70">
        <f>IFERROR(SUMPRODUCT((Payment_Data.$B$6:$B$100="OPS-002")*(Payment_Data.$J$6:$J$100=N$6)*(Payment_Data.$I$6:$I$100)),0)</f>
        <v/>
      </c>
      <c r="O38" s="70">
        <f>IFERROR(SUMPRODUCT((Payment_Data.$B$6:$B$100="OPS-002")*(Payment_Data.$J$6:$J$100=O$6)*(Payment_Data.$I$6:$I$100)),0)</f>
        <v/>
      </c>
      <c r="P38" s="70">
        <f>IFERROR(SUMPRODUCT((Payment_Data.$B$6:$B$100="OPS-002")*(Payment_Data.$J$6:$J$100=P$6)*(Payment_Data.$I$6:$I$100)),0)</f>
        <v/>
      </c>
      <c r="Q38" s="71">
        <f>IFERROR(SUMPRODUCT((Payment_Data.$B$6:$B$100="OPS-002")*(Payment_Data.$J$6:$J$100=Q$6)*(Payment_Data.$I$6:$I$100)),0)</f>
        <v/>
      </c>
      <c r="R38" s="72">
        <f>IFERROR(SUMPRODUCT((Payment_Data.$B$6:$B$100="OPS-002")*(Payment_Data.$J$6:$J$100=R$6)*(Payment_Data.$I$6:$I$100)),0)</f>
        <v/>
      </c>
      <c r="S38" s="70">
        <f>IFERROR(SUMPRODUCT((Payment_Data.$B$6:$B$100="OPS-002")*(Payment_Data.$J$6:$J$100=S$6)*(Payment_Data.$I$6:$I$100)),0)</f>
        <v/>
      </c>
      <c r="T38" s="70">
        <f>IFERROR(SUMPRODUCT((Payment_Data.$B$6:$B$100="OPS-002")*(Payment_Data.$J$6:$J$100=T$6)*(Payment_Data.$I$6:$I$100)),0)</f>
        <v/>
      </c>
      <c r="U38" s="70">
        <f>IFERROR(SUMPRODUCT((Payment_Data.$B$6:$B$100="OPS-002")*(Payment_Data.$J$6:$J$100=U$6)*(Payment_Data.$I$6:$I$100)),0)</f>
        <v/>
      </c>
      <c r="V38" s="70">
        <f>IFERROR(SUMPRODUCT((Payment_Data.$B$6:$B$100="OPS-002")*(Payment_Data.$J$6:$J$100=V$6)*(Payment_Data.$I$6:$I$100)),0)</f>
        <v/>
      </c>
      <c r="W38" s="70">
        <f>IFERROR(SUMPRODUCT((Payment_Data.$B$6:$B$100="OPS-002")*(Payment_Data.$J$6:$J$100=W$6)*(Payment_Data.$I$6:$I$100)),0)</f>
        <v/>
      </c>
      <c r="X38" s="71">
        <f>IFERROR(SUMPRODUCT((Payment_Data.$B$6:$B$100="OPS-002")*(Payment_Data.$J$6:$J$100=X$6)*(Payment_Data.$I$6:$I$100)),0)</f>
        <v/>
      </c>
      <c r="Y38" s="72">
        <f>IFERROR(SUMPRODUCT((Payment_Data.$B$6:$B$100="OPS-002")*(Payment_Data.$J$6:$J$100=Y$6)*(Payment_Data.$I$6:$I$100)),0)</f>
        <v/>
      </c>
      <c r="Z38" s="70">
        <f>IFERROR(SUMPRODUCT((Payment_Data.$B$6:$B$100="OPS-002")*(Payment_Data.$J$6:$J$100=Z$6)*(Payment_Data.$I$6:$I$100)),0)</f>
        <v/>
      </c>
      <c r="AA38" s="70">
        <f>IFERROR(SUMPRODUCT((Payment_Data.$B$6:$B$100="OPS-002")*(Payment_Data.$J$6:$J$100=AA$6)*(Payment_Data.$I$6:$I$100)),0)</f>
        <v/>
      </c>
      <c r="AB38" s="70">
        <f>IFERROR(SUMPRODUCT((Payment_Data.$B$6:$B$100="OPS-002")*(Payment_Data.$J$6:$J$100=AB$6)*(Payment_Data.$I$6:$I$100)),0)</f>
        <v/>
      </c>
      <c r="AC38" s="70">
        <f>IFERROR(SUMPRODUCT((Payment_Data.$B$6:$B$100="OPS-002")*(Payment_Data.$J$6:$J$100=AC$6)*(Payment_Data.$I$6:$I$100)),0)</f>
        <v/>
      </c>
      <c r="AD38" s="70">
        <f>IFERROR(SUMPRODUCT((Payment_Data.$B$6:$B$100="OPS-002")*(Payment_Data.$J$6:$J$100=AD$6)*(Payment_Data.$I$6:$I$100)),0)</f>
        <v/>
      </c>
      <c r="AE38" s="71">
        <f>IFERROR(SUMPRODUCT((Payment_Data.$B$6:$B$100="OPS-002")*(Payment_Data.$J$6:$J$100=AE$6)*(Payment_Data.$I$6:$I$100)),0)</f>
        <v/>
      </c>
      <c r="AF38" s="72">
        <f>IFERROR(SUMPRODUCT((Payment_Data.$B$6:$B$100="OPS-002")*(Payment_Data.$J$6:$J$100=AF$6)*(Payment_Data.$I$6:$I$100)),0)</f>
        <v/>
      </c>
      <c r="AG38" s="70">
        <f>IFERROR(SUMPRODUCT((Payment_Data.$B$6:$B$100="OPS-002")*(Payment_Data.$J$6:$J$100=AG$6)*(Payment_Data.$I$6:$I$100)),0)</f>
        <v/>
      </c>
      <c r="AH38" s="70">
        <f>IFERROR(SUMPRODUCT((Payment_Data.$B$6:$B$100="OPS-002")*(Payment_Data.$J$6:$J$100=AH$6)*(Payment_Data.$I$6:$I$100)),0)</f>
        <v/>
      </c>
      <c r="AI38" s="70">
        <f>IFERROR(SUMPRODUCT((Payment_Data.$B$6:$B$100="OPS-002")*(Payment_Data.$J$6:$J$100=AI$6)*(Payment_Data.$I$6:$I$100)),0)</f>
        <v/>
      </c>
      <c r="AJ38" s="70">
        <f>IFERROR(SUMPRODUCT((Payment_Data.$B$6:$B$100="OPS-002")*(Payment_Data.$J$6:$J$100=AJ$6)*(Payment_Data.$I$6:$I$100)),0)</f>
        <v/>
      </c>
      <c r="AK38" s="70">
        <f>IFERROR(SUMPRODUCT((Payment_Data.$B$6:$B$100="OPS-002")*(Payment_Data.$J$6:$J$100=AK$6)*(Payment_Data.$I$6:$I$100)),0)</f>
        <v/>
      </c>
      <c r="AL38" s="71">
        <f>IFERROR(SUMPRODUCT((Payment_Data.$B$6:$B$100="OPS-002")*(Payment_Data.$J$6:$J$100=AL$6)*(Payment_Data.$I$6:$I$100)),0)</f>
        <v/>
      </c>
      <c r="AM38" s="72">
        <f>IFERROR(SUMPRODUCT((Payment_Data.$B$6:$B$100="OPS-002")*(Payment_Data.$J$6:$J$100=AM$6)*(Payment_Data.$I$6:$I$100)),0)</f>
        <v/>
      </c>
      <c r="AN38" s="70">
        <f>IFERROR(SUMPRODUCT((Payment_Data.$B$6:$B$100="OPS-002")*(Payment_Data.$J$6:$J$100=AN$6)*(Payment_Data.$I$6:$I$100)),0)</f>
        <v/>
      </c>
      <c r="AO38" s="70">
        <f>IFERROR(SUMPRODUCT((Payment_Data.$B$6:$B$100="OPS-002")*(Payment_Data.$J$6:$J$100=AO$6)*(Payment_Data.$I$6:$I$100)),0)</f>
        <v/>
      </c>
      <c r="AP38" s="70">
        <f>IFERROR(SUMPRODUCT((Payment_Data.$B$6:$B$100="OPS-002")*(Payment_Data.$J$6:$J$100=AP$6)*(Payment_Data.$I$6:$I$100)),0)</f>
        <v/>
      </c>
      <c r="AQ38" s="70">
        <f>IFERROR(SUMPRODUCT((Payment_Data.$B$6:$B$100="OPS-002")*(Payment_Data.$J$6:$J$100=AQ$6)*(Payment_Data.$I$6:$I$100)),0)</f>
        <v/>
      </c>
      <c r="AR38" s="70">
        <f>IFERROR(SUMPRODUCT((Payment_Data.$B$6:$B$100="OPS-002")*(Payment_Data.$J$6:$J$100=AR$6)*(Payment_Data.$I$6:$I$100)),0)</f>
        <v/>
      </c>
      <c r="AS38" s="71">
        <f>IFERROR(SUMPRODUCT((Payment_Data.$B$6:$B$100="OPS-002")*(Payment_Data.$J$6:$J$100=AS$6)*(Payment_Data.$I$6:$I$100)),0)</f>
        <v/>
      </c>
      <c r="AT38" s="72">
        <f>IFERROR(SUMPRODUCT((Payment_Data.$B$6:$B$100="OPS-002")*(Payment_Data.$J$6:$J$100=AT$6)*(Payment_Data.$I$6:$I$100)),0)</f>
        <v/>
      </c>
      <c r="AU38" s="70">
        <f>IFERROR(SUMPRODUCT((Payment_Data.$B$6:$B$100="OPS-002")*(Payment_Data.$J$6:$J$100=AU$6)*(Payment_Data.$I$6:$I$100)),0)</f>
        <v/>
      </c>
      <c r="AV38" s="70">
        <f>IFERROR(SUMPRODUCT((Payment_Data.$B$6:$B$100="OPS-002")*(Payment_Data.$J$6:$J$100=AV$6)*(Payment_Data.$I$6:$I$100)),0)</f>
        <v/>
      </c>
      <c r="AW38" s="70">
        <f>IFERROR(SUMPRODUCT((Payment_Data.$B$6:$B$100="OPS-002")*(Payment_Data.$J$6:$J$100=AW$6)*(Payment_Data.$I$6:$I$100)),0)</f>
        <v/>
      </c>
      <c r="AX38" s="70">
        <f>IFERROR(SUMPRODUCT((Payment_Data.$B$6:$B$100="OPS-002")*(Payment_Data.$J$6:$J$100=AX$6)*(Payment_Data.$I$6:$I$100)),0)</f>
        <v/>
      </c>
      <c r="AY38" s="70">
        <f>IFERROR(SUMPRODUCT((Payment_Data.$B$6:$B$100="OPS-002")*(Payment_Data.$J$6:$J$100=AY$6)*(Payment_Data.$I$6:$I$100)),0)</f>
        <v/>
      </c>
      <c r="AZ38" s="71">
        <f>IFERROR(SUMPRODUCT((Payment_Data.$B$6:$B$100="OPS-002")*(Payment_Data.$J$6:$J$100=AZ$6)*(Payment_Data.$I$6:$I$100)),0)</f>
        <v/>
      </c>
      <c r="BA38" s="72">
        <f>IFERROR(SUMPRODUCT((Payment_Data.$B$6:$B$100="OPS-002")*(Payment_Data.$J$6:$J$100=BA$6)*(Payment_Data.$I$6:$I$100)),0)</f>
        <v/>
      </c>
      <c r="BB38" s="70">
        <f>IFERROR(SUMPRODUCT((Payment_Data.$B$6:$B$100="OPS-002")*(Payment_Data.$J$6:$J$100=BB$6)*(Payment_Data.$I$6:$I$100)),0)</f>
        <v/>
      </c>
      <c r="BC38" s="70">
        <f>IFERROR(SUMPRODUCT((Payment_Data.$B$6:$B$100="OPS-002")*(Payment_Data.$J$6:$J$100=BC$6)*(Payment_Data.$I$6:$I$100)),0)</f>
        <v/>
      </c>
      <c r="BD38" s="70">
        <f>IFERROR(SUMPRODUCT((Payment_Data.$B$6:$B$100="OPS-002")*(Payment_Data.$J$6:$J$100=BD$6)*(Payment_Data.$I$6:$I$100)),0)</f>
        <v/>
      </c>
      <c r="BE38" s="70">
        <f>IFERROR(SUMPRODUCT((Payment_Data.$B$6:$B$100="OPS-002")*(Payment_Data.$J$6:$J$100=BE$6)*(Payment_Data.$I$6:$I$100)),0)</f>
        <v/>
      </c>
      <c r="BF38" s="70">
        <f>IFERROR(SUMPRODUCT((Payment_Data.$B$6:$B$100="OPS-002")*(Payment_Data.$J$6:$J$100=BF$6)*(Payment_Data.$I$6:$I$100)),0)</f>
        <v/>
      </c>
      <c r="BG38" s="71">
        <f>IFERROR(SUMPRODUCT((Payment_Data.$B$6:$B$100="OPS-002")*(Payment_Data.$J$6:$J$100=BG$6)*(Payment_Data.$I$6:$I$100)),0)</f>
        <v/>
      </c>
      <c r="BH38" s="72">
        <f>IFERROR(SUMPRODUCT((Payment_Data.$B$6:$B$100="OPS-002")*(Payment_Data.$J$6:$J$100=BH$6)*(Payment_Data.$I$6:$I$100)),0)</f>
        <v/>
      </c>
      <c r="BI38" s="70">
        <f>IFERROR(SUMPRODUCT((Payment_Data.$B$6:$B$100="OPS-002")*(Payment_Data.$J$6:$J$100=BI$6)*(Payment_Data.$I$6:$I$100)),0)</f>
        <v/>
      </c>
      <c r="BJ38" s="70">
        <f>IFERROR(SUMPRODUCT((Payment_Data.$B$6:$B$100="OPS-002")*(Payment_Data.$J$6:$J$100=BJ$6)*(Payment_Data.$I$6:$I$100)),0)</f>
        <v/>
      </c>
      <c r="BK38" s="70">
        <f>IFERROR(SUMPRODUCT((Payment_Data.$B$6:$B$100="OPS-002")*(Payment_Data.$J$6:$J$100=BK$6)*(Payment_Data.$I$6:$I$100)),0)</f>
        <v/>
      </c>
      <c r="BL38" s="70">
        <f>IFERROR(SUMPRODUCT((Payment_Data.$B$6:$B$100="OPS-002")*(Payment_Data.$J$6:$J$100=BL$6)*(Payment_Data.$I$6:$I$100)),0)</f>
        <v/>
      </c>
    </row>
    <row r="39">
      <c r="A39" s="83" t="inlineStr">
        <is>
          <t>OPEX</t>
        </is>
      </c>
      <c r="B39" s="32" t="inlineStr">
        <is>
          <t>Insurance Corporation</t>
        </is>
      </c>
      <c r="C39" s="10" t="inlineStr">
        <is>
          <t>SAR</t>
        </is>
      </c>
      <c r="D39" s="10">
        <f>IFERROR(INDEX(Payment_Data.$L$6:$L$100,MATCH("OPS-004",Payment_Data.$B$6:$B$100,0)),"")</f>
        <v/>
      </c>
      <c r="E39" s="70">
        <f>IFERROR(SUMPRODUCT((Payment_Data.$B$6:$B$100="OPS-004")*(Payment_Data.$J$6:$J$100=E$6)*(Payment_Data.$I$6:$I$100)),0)</f>
        <v/>
      </c>
      <c r="F39" s="70">
        <f>IFERROR(SUMPRODUCT((Payment_Data.$B$6:$B$100="OPS-004")*(Payment_Data.$J$6:$J$100=F$6)*(Payment_Data.$I$6:$I$100)),0)</f>
        <v/>
      </c>
      <c r="G39" s="70">
        <f>IFERROR(SUMPRODUCT((Payment_Data.$B$6:$B$100="OPS-004")*(Payment_Data.$J$6:$J$100=G$6)*(Payment_Data.$I$6:$I$100)),0)</f>
        <v/>
      </c>
      <c r="H39" s="70">
        <f>IFERROR(SUMPRODUCT((Payment_Data.$B$6:$B$100="OPS-004")*(Payment_Data.$J$6:$J$100=H$6)*(Payment_Data.$I$6:$I$100)),0)</f>
        <v/>
      </c>
      <c r="I39" s="70">
        <f>IFERROR(SUMPRODUCT((Payment_Data.$B$6:$B$100="OPS-004")*(Payment_Data.$J$6:$J$100=I$6)*(Payment_Data.$I$6:$I$100)),0)</f>
        <v/>
      </c>
      <c r="J39" s="71">
        <f>IFERROR(SUMPRODUCT((Payment_Data.$B$6:$B$100="OPS-004")*(Payment_Data.$J$6:$J$100=J$6)*(Payment_Data.$I$6:$I$100)),0)</f>
        <v/>
      </c>
      <c r="K39" s="72">
        <f>IFERROR(SUMPRODUCT((Payment_Data.$B$6:$B$100="OPS-004")*(Payment_Data.$J$6:$J$100=K$6)*(Payment_Data.$I$6:$I$100)),0)</f>
        <v/>
      </c>
      <c r="L39" s="70">
        <f>IFERROR(SUMPRODUCT((Payment_Data.$B$6:$B$100="OPS-004")*(Payment_Data.$J$6:$J$100=L$6)*(Payment_Data.$I$6:$I$100)),0)</f>
        <v/>
      </c>
      <c r="M39" s="70">
        <f>IFERROR(SUMPRODUCT((Payment_Data.$B$6:$B$100="OPS-004")*(Payment_Data.$J$6:$J$100=M$6)*(Payment_Data.$I$6:$I$100)),0)</f>
        <v/>
      </c>
      <c r="N39" s="70">
        <f>IFERROR(SUMPRODUCT((Payment_Data.$B$6:$B$100="OPS-004")*(Payment_Data.$J$6:$J$100=N$6)*(Payment_Data.$I$6:$I$100)),0)</f>
        <v/>
      </c>
      <c r="O39" s="70">
        <f>IFERROR(SUMPRODUCT((Payment_Data.$B$6:$B$100="OPS-004")*(Payment_Data.$J$6:$J$100=O$6)*(Payment_Data.$I$6:$I$100)),0)</f>
        <v/>
      </c>
      <c r="P39" s="70">
        <f>IFERROR(SUMPRODUCT((Payment_Data.$B$6:$B$100="OPS-004")*(Payment_Data.$J$6:$J$100=P$6)*(Payment_Data.$I$6:$I$100)),0)</f>
        <v/>
      </c>
      <c r="Q39" s="71">
        <f>IFERROR(SUMPRODUCT((Payment_Data.$B$6:$B$100="OPS-004")*(Payment_Data.$J$6:$J$100=Q$6)*(Payment_Data.$I$6:$I$100)),0)</f>
        <v/>
      </c>
      <c r="R39" s="72">
        <f>IFERROR(SUMPRODUCT((Payment_Data.$B$6:$B$100="OPS-004")*(Payment_Data.$J$6:$J$100=R$6)*(Payment_Data.$I$6:$I$100)),0)</f>
        <v/>
      </c>
      <c r="S39" s="70">
        <f>IFERROR(SUMPRODUCT((Payment_Data.$B$6:$B$100="OPS-004")*(Payment_Data.$J$6:$J$100=S$6)*(Payment_Data.$I$6:$I$100)),0)</f>
        <v/>
      </c>
      <c r="T39" s="70">
        <f>IFERROR(SUMPRODUCT((Payment_Data.$B$6:$B$100="OPS-004")*(Payment_Data.$J$6:$J$100=T$6)*(Payment_Data.$I$6:$I$100)),0)</f>
        <v/>
      </c>
      <c r="U39" s="70">
        <f>IFERROR(SUMPRODUCT((Payment_Data.$B$6:$B$100="OPS-004")*(Payment_Data.$J$6:$J$100=U$6)*(Payment_Data.$I$6:$I$100)),0)</f>
        <v/>
      </c>
      <c r="V39" s="70">
        <f>IFERROR(SUMPRODUCT((Payment_Data.$B$6:$B$100="OPS-004")*(Payment_Data.$J$6:$J$100=V$6)*(Payment_Data.$I$6:$I$100)),0)</f>
        <v/>
      </c>
      <c r="W39" s="70">
        <f>IFERROR(SUMPRODUCT((Payment_Data.$B$6:$B$100="OPS-004")*(Payment_Data.$J$6:$J$100=W$6)*(Payment_Data.$I$6:$I$100)),0)</f>
        <v/>
      </c>
      <c r="X39" s="71">
        <f>IFERROR(SUMPRODUCT((Payment_Data.$B$6:$B$100="OPS-004")*(Payment_Data.$J$6:$J$100=X$6)*(Payment_Data.$I$6:$I$100)),0)</f>
        <v/>
      </c>
      <c r="Y39" s="72">
        <f>IFERROR(SUMPRODUCT((Payment_Data.$B$6:$B$100="OPS-004")*(Payment_Data.$J$6:$J$100=Y$6)*(Payment_Data.$I$6:$I$100)),0)</f>
        <v/>
      </c>
      <c r="Z39" s="70">
        <f>IFERROR(SUMPRODUCT((Payment_Data.$B$6:$B$100="OPS-004")*(Payment_Data.$J$6:$J$100=Z$6)*(Payment_Data.$I$6:$I$100)),0)</f>
        <v/>
      </c>
      <c r="AA39" s="70">
        <f>IFERROR(SUMPRODUCT((Payment_Data.$B$6:$B$100="OPS-004")*(Payment_Data.$J$6:$J$100=AA$6)*(Payment_Data.$I$6:$I$100)),0)</f>
        <v/>
      </c>
      <c r="AB39" s="70">
        <f>IFERROR(SUMPRODUCT((Payment_Data.$B$6:$B$100="OPS-004")*(Payment_Data.$J$6:$J$100=AB$6)*(Payment_Data.$I$6:$I$100)),0)</f>
        <v/>
      </c>
      <c r="AC39" s="70">
        <f>IFERROR(SUMPRODUCT((Payment_Data.$B$6:$B$100="OPS-004")*(Payment_Data.$J$6:$J$100=AC$6)*(Payment_Data.$I$6:$I$100)),0)</f>
        <v/>
      </c>
      <c r="AD39" s="70">
        <f>IFERROR(SUMPRODUCT((Payment_Data.$B$6:$B$100="OPS-004")*(Payment_Data.$J$6:$J$100=AD$6)*(Payment_Data.$I$6:$I$100)),0)</f>
        <v/>
      </c>
      <c r="AE39" s="71">
        <f>IFERROR(SUMPRODUCT((Payment_Data.$B$6:$B$100="OPS-004")*(Payment_Data.$J$6:$J$100=AE$6)*(Payment_Data.$I$6:$I$100)),0)</f>
        <v/>
      </c>
      <c r="AF39" s="72">
        <f>IFERROR(SUMPRODUCT((Payment_Data.$B$6:$B$100="OPS-004")*(Payment_Data.$J$6:$J$100=AF$6)*(Payment_Data.$I$6:$I$100)),0)</f>
        <v/>
      </c>
      <c r="AG39" s="70">
        <f>IFERROR(SUMPRODUCT((Payment_Data.$B$6:$B$100="OPS-004")*(Payment_Data.$J$6:$J$100=AG$6)*(Payment_Data.$I$6:$I$100)),0)</f>
        <v/>
      </c>
      <c r="AH39" s="70">
        <f>IFERROR(SUMPRODUCT((Payment_Data.$B$6:$B$100="OPS-004")*(Payment_Data.$J$6:$J$100=AH$6)*(Payment_Data.$I$6:$I$100)),0)</f>
        <v/>
      </c>
      <c r="AI39" s="70">
        <f>IFERROR(SUMPRODUCT((Payment_Data.$B$6:$B$100="OPS-004")*(Payment_Data.$J$6:$J$100=AI$6)*(Payment_Data.$I$6:$I$100)),0)</f>
        <v/>
      </c>
      <c r="AJ39" s="70">
        <f>IFERROR(SUMPRODUCT((Payment_Data.$B$6:$B$100="OPS-004")*(Payment_Data.$J$6:$J$100=AJ$6)*(Payment_Data.$I$6:$I$100)),0)</f>
        <v/>
      </c>
      <c r="AK39" s="70">
        <f>IFERROR(SUMPRODUCT((Payment_Data.$B$6:$B$100="OPS-004")*(Payment_Data.$J$6:$J$100=AK$6)*(Payment_Data.$I$6:$I$100)),0)</f>
        <v/>
      </c>
      <c r="AL39" s="71">
        <f>IFERROR(SUMPRODUCT((Payment_Data.$B$6:$B$100="OPS-004")*(Payment_Data.$J$6:$J$100=AL$6)*(Payment_Data.$I$6:$I$100)),0)</f>
        <v/>
      </c>
      <c r="AM39" s="72">
        <f>IFERROR(SUMPRODUCT((Payment_Data.$B$6:$B$100="OPS-004")*(Payment_Data.$J$6:$J$100=AM$6)*(Payment_Data.$I$6:$I$100)),0)</f>
        <v/>
      </c>
      <c r="AN39" s="70">
        <f>IFERROR(SUMPRODUCT((Payment_Data.$B$6:$B$100="OPS-004")*(Payment_Data.$J$6:$J$100=AN$6)*(Payment_Data.$I$6:$I$100)),0)</f>
        <v/>
      </c>
      <c r="AO39" s="70">
        <f>IFERROR(SUMPRODUCT((Payment_Data.$B$6:$B$100="OPS-004")*(Payment_Data.$J$6:$J$100=AO$6)*(Payment_Data.$I$6:$I$100)),0)</f>
        <v/>
      </c>
      <c r="AP39" s="70">
        <f>IFERROR(SUMPRODUCT((Payment_Data.$B$6:$B$100="OPS-004")*(Payment_Data.$J$6:$J$100=AP$6)*(Payment_Data.$I$6:$I$100)),0)</f>
        <v/>
      </c>
      <c r="AQ39" s="70">
        <f>IFERROR(SUMPRODUCT((Payment_Data.$B$6:$B$100="OPS-004")*(Payment_Data.$J$6:$J$100=AQ$6)*(Payment_Data.$I$6:$I$100)),0)</f>
        <v/>
      </c>
      <c r="AR39" s="70">
        <f>IFERROR(SUMPRODUCT((Payment_Data.$B$6:$B$100="OPS-004")*(Payment_Data.$J$6:$J$100=AR$6)*(Payment_Data.$I$6:$I$100)),0)</f>
        <v/>
      </c>
      <c r="AS39" s="71">
        <f>IFERROR(SUMPRODUCT((Payment_Data.$B$6:$B$100="OPS-004")*(Payment_Data.$J$6:$J$100=AS$6)*(Payment_Data.$I$6:$I$100)),0)</f>
        <v/>
      </c>
      <c r="AT39" s="72">
        <f>IFERROR(SUMPRODUCT((Payment_Data.$B$6:$B$100="OPS-004")*(Payment_Data.$J$6:$J$100=AT$6)*(Payment_Data.$I$6:$I$100)),0)</f>
        <v/>
      </c>
      <c r="AU39" s="70">
        <f>IFERROR(SUMPRODUCT((Payment_Data.$B$6:$B$100="OPS-004")*(Payment_Data.$J$6:$J$100=AU$6)*(Payment_Data.$I$6:$I$100)),0)</f>
        <v/>
      </c>
      <c r="AV39" s="70">
        <f>IFERROR(SUMPRODUCT((Payment_Data.$B$6:$B$100="OPS-004")*(Payment_Data.$J$6:$J$100=AV$6)*(Payment_Data.$I$6:$I$100)),0)</f>
        <v/>
      </c>
      <c r="AW39" s="70">
        <f>IFERROR(SUMPRODUCT((Payment_Data.$B$6:$B$100="OPS-004")*(Payment_Data.$J$6:$J$100=AW$6)*(Payment_Data.$I$6:$I$100)),0)</f>
        <v/>
      </c>
      <c r="AX39" s="70">
        <f>IFERROR(SUMPRODUCT((Payment_Data.$B$6:$B$100="OPS-004")*(Payment_Data.$J$6:$J$100=AX$6)*(Payment_Data.$I$6:$I$100)),0)</f>
        <v/>
      </c>
      <c r="AY39" s="70">
        <f>IFERROR(SUMPRODUCT((Payment_Data.$B$6:$B$100="OPS-004")*(Payment_Data.$J$6:$J$100=AY$6)*(Payment_Data.$I$6:$I$100)),0)</f>
        <v/>
      </c>
      <c r="AZ39" s="71">
        <f>IFERROR(SUMPRODUCT((Payment_Data.$B$6:$B$100="OPS-004")*(Payment_Data.$J$6:$J$100=AZ$6)*(Payment_Data.$I$6:$I$100)),0)</f>
        <v/>
      </c>
      <c r="BA39" s="72">
        <f>IFERROR(SUMPRODUCT((Payment_Data.$B$6:$B$100="OPS-004")*(Payment_Data.$J$6:$J$100=BA$6)*(Payment_Data.$I$6:$I$100)),0)</f>
        <v/>
      </c>
      <c r="BB39" s="70">
        <f>IFERROR(SUMPRODUCT((Payment_Data.$B$6:$B$100="OPS-004")*(Payment_Data.$J$6:$J$100=BB$6)*(Payment_Data.$I$6:$I$100)),0)</f>
        <v/>
      </c>
      <c r="BC39" s="70">
        <f>IFERROR(SUMPRODUCT((Payment_Data.$B$6:$B$100="OPS-004")*(Payment_Data.$J$6:$J$100=BC$6)*(Payment_Data.$I$6:$I$100)),0)</f>
        <v/>
      </c>
      <c r="BD39" s="70">
        <f>IFERROR(SUMPRODUCT((Payment_Data.$B$6:$B$100="OPS-004")*(Payment_Data.$J$6:$J$100=BD$6)*(Payment_Data.$I$6:$I$100)),0)</f>
        <v/>
      </c>
      <c r="BE39" s="70">
        <f>IFERROR(SUMPRODUCT((Payment_Data.$B$6:$B$100="OPS-004")*(Payment_Data.$J$6:$J$100=BE$6)*(Payment_Data.$I$6:$I$100)),0)</f>
        <v/>
      </c>
      <c r="BF39" s="70">
        <f>IFERROR(SUMPRODUCT((Payment_Data.$B$6:$B$100="OPS-004")*(Payment_Data.$J$6:$J$100=BF$6)*(Payment_Data.$I$6:$I$100)),0)</f>
        <v/>
      </c>
      <c r="BG39" s="71">
        <f>IFERROR(SUMPRODUCT((Payment_Data.$B$6:$B$100="OPS-004")*(Payment_Data.$J$6:$J$100=BG$6)*(Payment_Data.$I$6:$I$100)),0)</f>
        <v/>
      </c>
      <c r="BH39" s="72">
        <f>IFERROR(SUMPRODUCT((Payment_Data.$B$6:$B$100="OPS-004")*(Payment_Data.$J$6:$J$100=BH$6)*(Payment_Data.$I$6:$I$100)),0)</f>
        <v/>
      </c>
      <c r="BI39" s="70">
        <f>IFERROR(SUMPRODUCT((Payment_Data.$B$6:$B$100="OPS-004")*(Payment_Data.$J$6:$J$100=BI$6)*(Payment_Data.$I$6:$I$100)),0)</f>
        <v/>
      </c>
      <c r="BJ39" s="70">
        <f>IFERROR(SUMPRODUCT((Payment_Data.$B$6:$B$100="OPS-004")*(Payment_Data.$J$6:$J$100=BJ$6)*(Payment_Data.$I$6:$I$100)),0)</f>
        <v/>
      </c>
      <c r="BK39" s="70">
        <f>IFERROR(SUMPRODUCT((Payment_Data.$B$6:$B$100="OPS-004")*(Payment_Data.$J$6:$J$100=BK$6)*(Payment_Data.$I$6:$I$100)),0)</f>
        <v/>
      </c>
      <c r="BL39" s="70">
        <f>IFERROR(SUMPRODUCT((Payment_Data.$B$6:$B$100="OPS-004")*(Payment_Data.$J$6:$J$100=BL$6)*(Payment_Data.$I$6:$I$100)),0)</f>
        <v/>
      </c>
    </row>
    <row r="40">
      <c r="A40" s="66" t="inlineStr">
        <is>
          <t>CATEGORY TOTALS</t>
        </is>
      </c>
      <c r="B40" s="94" t="n"/>
      <c r="C40" s="94" t="n"/>
      <c r="D40" s="95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  <c r="AA40" s="67" t="n"/>
      <c r="AB40" s="67" t="n"/>
      <c r="AC40" s="67" t="n"/>
      <c r="AD40" s="67" t="n"/>
      <c r="AE40" s="67" t="n"/>
      <c r="AF40" s="67" t="n"/>
      <c r="AG40" s="67" t="n"/>
      <c r="AH40" s="67" t="n"/>
      <c r="AI40" s="67" t="n"/>
      <c r="AJ40" s="67" t="n"/>
      <c r="AK40" s="67" t="n"/>
      <c r="AL40" s="67" t="n"/>
      <c r="AM40" s="67" t="n"/>
      <c r="AN40" s="67" t="n"/>
      <c r="AO40" s="67" t="n"/>
      <c r="AP40" s="67" t="n"/>
      <c r="AQ40" s="67" t="n"/>
      <c r="AR40" s="67" t="n"/>
      <c r="AS40" s="67" t="n"/>
      <c r="AT40" s="67" t="n"/>
      <c r="AU40" s="67" t="n"/>
      <c r="AV40" s="67" t="n"/>
      <c r="AW40" s="67" t="n"/>
      <c r="AX40" s="67" t="n"/>
      <c r="AY40" s="67" t="n"/>
      <c r="AZ40" s="67" t="n"/>
      <c r="BA40" s="67" t="n"/>
      <c r="BB40" s="67" t="n"/>
      <c r="BC40" s="67" t="n"/>
      <c r="BD40" s="67" t="n"/>
      <c r="BE40" s="67" t="n"/>
      <c r="BF40" s="67" t="n"/>
      <c r="BG40" s="67" t="n"/>
      <c r="BH40" s="67" t="n"/>
      <c r="BI40" s="67" t="n"/>
      <c r="BJ40" s="67" t="n"/>
      <c r="BK40" s="67" t="n"/>
      <c r="BL40" s="67" t="n"/>
    </row>
    <row r="41">
      <c r="A41" s="84" t="inlineStr">
        <is>
          <t>TOTAL</t>
        </is>
      </c>
      <c r="B41" s="84" t="inlineStr">
        <is>
          <t>Daily Total (SAR)</t>
        </is>
      </c>
      <c r="C41" s="51" t="inlineStr">
        <is>
          <t>SAR</t>
        </is>
      </c>
      <c r="D41" s="85" t="inlineStr"/>
      <c r="E41" s="74">
        <f>IFERROR(SUMPRODUCT((Payment_Data.$B$6:$B$100="VND-032")*(Payment_Data.$J$6:$J$100=E$6)*(Payment_Data.$I$6:$I$100)),0)</f>
        <v/>
      </c>
      <c r="F41" s="74">
        <f>IFERROR(SUMPRODUCT((Payment_Data.$B$6:$B$100="VND-032")*(Payment_Data.$J$6:$J$100=F$6)*(Payment_Data.$I$6:$I$100)),0)</f>
        <v/>
      </c>
      <c r="G41" s="74">
        <f>IFERROR(SUMPRODUCT((Payment_Data.$B$6:$B$100="VND-032")*(Payment_Data.$J$6:$J$100=G$6)*(Payment_Data.$I$6:$I$100)),0)</f>
        <v/>
      </c>
      <c r="H41" s="74">
        <f>IFERROR(SUMPRODUCT((Payment_Data.$B$6:$B$100="VND-032")*(Payment_Data.$J$6:$J$100=H$6)*(Payment_Data.$I$6:$I$100)),0)</f>
        <v/>
      </c>
      <c r="I41" s="74">
        <f>IFERROR(SUMPRODUCT((Payment_Data.$B$6:$B$100="VND-032")*(Payment_Data.$J$6:$J$100=I$6)*(Payment_Data.$I$6:$I$100)),0)</f>
        <v/>
      </c>
      <c r="J41" s="74">
        <f>IFERROR(SUMPRODUCT((Payment_Data.$B$6:$B$100="VND-032")*(Payment_Data.$J$6:$J$100=J$6)*(Payment_Data.$I$6:$I$100)),0)</f>
        <v/>
      </c>
      <c r="K41" s="74">
        <f>IFERROR(SUMPRODUCT((Payment_Data.$B$6:$B$100="VND-032")*(Payment_Data.$J$6:$J$100=K$6)*(Payment_Data.$I$6:$I$100)),0)</f>
        <v/>
      </c>
      <c r="L41" s="74">
        <f>IFERROR(SUMPRODUCT((Payment_Data.$B$6:$B$100="VND-032")*(Payment_Data.$J$6:$J$100=L$6)*(Payment_Data.$I$6:$I$100)),0)</f>
        <v/>
      </c>
      <c r="M41" s="74">
        <f>IFERROR(SUMPRODUCT((Payment_Data.$B$6:$B$100="VND-032")*(Payment_Data.$J$6:$J$100=M$6)*(Payment_Data.$I$6:$I$100)),0)</f>
        <v/>
      </c>
      <c r="N41" s="74">
        <f>IFERROR(SUMPRODUCT((Payment_Data.$B$6:$B$100="VND-032")*(Payment_Data.$J$6:$J$100=N$6)*(Payment_Data.$I$6:$I$100)),0)</f>
        <v/>
      </c>
      <c r="O41" s="74">
        <f>IFERROR(SUMPRODUCT((Payment_Data.$B$6:$B$100="VND-032")*(Payment_Data.$J$6:$J$100=O$6)*(Payment_Data.$I$6:$I$100)),0)</f>
        <v/>
      </c>
      <c r="P41" s="74">
        <f>IFERROR(SUMPRODUCT((Payment_Data.$B$6:$B$100="VND-032")*(Payment_Data.$J$6:$J$100=P$6)*(Payment_Data.$I$6:$I$100)),0)</f>
        <v/>
      </c>
      <c r="Q41" s="74">
        <f>IFERROR(SUMPRODUCT((Payment_Data.$B$6:$B$100="VND-032")*(Payment_Data.$J$6:$J$100=Q$6)*(Payment_Data.$I$6:$I$100)),0)</f>
        <v/>
      </c>
      <c r="R41" s="74">
        <f>IFERROR(SUMPRODUCT((Payment_Data.$B$6:$B$100="VND-032")*(Payment_Data.$J$6:$J$100=R$6)*(Payment_Data.$I$6:$I$100)),0)</f>
        <v/>
      </c>
      <c r="S41" s="74">
        <f>IFERROR(SUMPRODUCT((Payment_Data.$B$6:$B$100="VND-032")*(Payment_Data.$J$6:$J$100=S$6)*(Payment_Data.$I$6:$I$100)),0)</f>
        <v/>
      </c>
      <c r="T41" s="74">
        <f>IFERROR(SUMPRODUCT((Payment_Data.$B$6:$B$100="VND-032")*(Payment_Data.$J$6:$J$100=T$6)*(Payment_Data.$I$6:$I$100)),0)</f>
        <v/>
      </c>
      <c r="U41" s="74">
        <f>IFERROR(SUMPRODUCT((Payment_Data.$B$6:$B$100="VND-032")*(Payment_Data.$J$6:$J$100=U$6)*(Payment_Data.$I$6:$I$100)),0)</f>
        <v/>
      </c>
      <c r="V41" s="74">
        <f>IFERROR(SUMPRODUCT((Payment_Data.$B$6:$B$100="VND-032")*(Payment_Data.$J$6:$J$100=V$6)*(Payment_Data.$I$6:$I$100)),0)</f>
        <v/>
      </c>
      <c r="W41" s="74">
        <f>IFERROR(SUMPRODUCT((Payment_Data.$B$6:$B$100="VND-032")*(Payment_Data.$J$6:$J$100=W$6)*(Payment_Data.$I$6:$I$100)),0)</f>
        <v/>
      </c>
      <c r="X41" s="74">
        <f>IFERROR(SUMPRODUCT((Payment_Data.$B$6:$B$100="VND-032")*(Payment_Data.$J$6:$J$100=X$6)*(Payment_Data.$I$6:$I$100)),0)</f>
        <v/>
      </c>
      <c r="Y41" s="74">
        <f>IFERROR(SUMPRODUCT((Payment_Data.$B$6:$B$100="VND-032")*(Payment_Data.$J$6:$J$100=Y$6)*(Payment_Data.$I$6:$I$100)),0)</f>
        <v/>
      </c>
      <c r="Z41" s="74">
        <f>IFERROR(SUMPRODUCT((Payment_Data.$B$6:$B$100="VND-032")*(Payment_Data.$J$6:$J$100=Z$6)*(Payment_Data.$I$6:$I$100)),0)</f>
        <v/>
      </c>
      <c r="AA41" s="74">
        <f>IFERROR(SUMPRODUCT((Payment_Data.$B$6:$B$100="VND-032")*(Payment_Data.$J$6:$J$100=AA$6)*(Payment_Data.$I$6:$I$100)),0)</f>
        <v/>
      </c>
      <c r="AB41" s="74">
        <f>IFERROR(SUMPRODUCT((Payment_Data.$B$6:$B$100="VND-032")*(Payment_Data.$J$6:$J$100=AB$6)*(Payment_Data.$I$6:$I$100)),0)</f>
        <v/>
      </c>
      <c r="AC41" s="74">
        <f>IFERROR(SUMPRODUCT((Payment_Data.$B$6:$B$100="VND-032")*(Payment_Data.$J$6:$J$100=AC$6)*(Payment_Data.$I$6:$I$100)),0)</f>
        <v/>
      </c>
      <c r="AD41" s="74">
        <f>IFERROR(SUMPRODUCT((Payment_Data.$B$6:$B$100="VND-032")*(Payment_Data.$J$6:$J$100=AD$6)*(Payment_Data.$I$6:$I$100)),0)</f>
        <v/>
      </c>
      <c r="AE41" s="74">
        <f>IFERROR(SUMPRODUCT((Payment_Data.$B$6:$B$100="VND-032")*(Payment_Data.$J$6:$J$100=AE$6)*(Payment_Data.$I$6:$I$100)),0)</f>
        <v/>
      </c>
      <c r="AF41" s="74">
        <f>IFERROR(SUMPRODUCT((Payment_Data.$B$6:$B$100="VND-032")*(Payment_Data.$J$6:$J$100=AF$6)*(Payment_Data.$I$6:$I$100)),0)</f>
        <v/>
      </c>
      <c r="AG41" s="74">
        <f>IFERROR(SUMPRODUCT((Payment_Data.$B$6:$B$100="VND-032")*(Payment_Data.$J$6:$J$100=AG$6)*(Payment_Data.$I$6:$I$100)),0)</f>
        <v/>
      </c>
      <c r="AH41" s="74">
        <f>IFERROR(SUMPRODUCT((Payment_Data.$B$6:$B$100="VND-032")*(Payment_Data.$J$6:$J$100=AH$6)*(Payment_Data.$I$6:$I$100)),0)</f>
        <v/>
      </c>
      <c r="AI41" s="74">
        <f>IFERROR(SUMPRODUCT((Payment_Data.$B$6:$B$100="VND-032")*(Payment_Data.$J$6:$J$100=AI$6)*(Payment_Data.$I$6:$I$100)),0)</f>
        <v/>
      </c>
      <c r="AJ41" s="74">
        <f>IFERROR(SUMPRODUCT((Payment_Data.$B$6:$B$100="VND-032")*(Payment_Data.$J$6:$J$100=AJ$6)*(Payment_Data.$I$6:$I$100)),0)</f>
        <v/>
      </c>
      <c r="AK41" s="74">
        <f>IFERROR(SUMPRODUCT((Payment_Data.$B$6:$B$100="VND-032")*(Payment_Data.$J$6:$J$100=AK$6)*(Payment_Data.$I$6:$I$100)),0)</f>
        <v/>
      </c>
      <c r="AL41" s="74">
        <f>IFERROR(SUMPRODUCT((Payment_Data.$B$6:$B$100="VND-032")*(Payment_Data.$J$6:$J$100=AL$6)*(Payment_Data.$I$6:$I$100)),0)</f>
        <v/>
      </c>
      <c r="AM41" s="74">
        <f>IFERROR(SUMPRODUCT((Payment_Data.$B$6:$B$100="VND-032")*(Payment_Data.$J$6:$J$100=AM$6)*(Payment_Data.$I$6:$I$100)),0)</f>
        <v/>
      </c>
      <c r="AN41" s="74">
        <f>IFERROR(SUMPRODUCT((Payment_Data.$B$6:$B$100="VND-032")*(Payment_Data.$J$6:$J$100=AN$6)*(Payment_Data.$I$6:$I$100)),0)</f>
        <v/>
      </c>
      <c r="AO41" s="74">
        <f>IFERROR(SUMPRODUCT((Payment_Data.$B$6:$B$100="VND-032")*(Payment_Data.$J$6:$J$100=AO$6)*(Payment_Data.$I$6:$I$100)),0)</f>
        <v/>
      </c>
      <c r="AP41" s="74">
        <f>IFERROR(SUMPRODUCT((Payment_Data.$B$6:$B$100="VND-032")*(Payment_Data.$J$6:$J$100=AP$6)*(Payment_Data.$I$6:$I$100)),0)</f>
        <v/>
      </c>
      <c r="AQ41" s="74">
        <f>IFERROR(SUMPRODUCT((Payment_Data.$B$6:$B$100="VND-032")*(Payment_Data.$J$6:$J$100=AQ$6)*(Payment_Data.$I$6:$I$100)),0)</f>
        <v/>
      </c>
      <c r="AR41" s="74">
        <f>IFERROR(SUMPRODUCT((Payment_Data.$B$6:$B$100="VND-032")*(Payment_Data.$J$6:$J$100=AR$6)*(Payment_Data.$I$6:$I$100)),0)</f>
        <v/>
      </c>
      <c r="AS41" s="74">
        <f>IFERROR(SUMPRODUCT((Payment_Data.$B$6:$B$100="VND-032")*(Payment_Data.$J$6:$J$100=AS$6)*(Payment_Data.$I$6:$I$100)),0)</f>
        <v/>
      </c>
      <c r="AT41" s="74">
        <f>IFERROR(SUMPRODUCT((Payment_Data.$B$6:$B$100="VND-032")*(Payment_Data.$J$6:$J$100=AT$6)*(Payment_Data.$I$6:$I$100)),0)</f>
        <v/>
      </c>
      <c r="AU41" s="74">
        <f>IFERROR(SUMPRODUCT((Payment_Data.$B$6:$B$100="VND-032")*(Payment_Data.$J$6:$J$100=AU$6)*(Payment_Data.$I$6:$I$100)),0)</f>
        <v/>
      </c>
      <c r="AV41" s="74">
        <f>IFERROR(SUMPRODUCT((Payment_Data.$B$6:$B$100="VND-032")*(Payment_Data.$J$6:$J$100=AV$6)*(Payment_Data.$I$6:$I$100)),0)</f>
        <v/>
      </c>
      <c r="AW41" s="74">
        <f>IFERROR(SUMPRODUCT((Payment_Data.$B$6:$B$100="VND-032")*(Payment_Data.$J$6:$J$100=AW$6)*(Payment_Data.$I$6:$I$100)),0)</f>
        <v/>
      </c>
      <c r="AX41" s="74">
        <f>IFERROR(SUMPRODUCT((Payment_Data.$B$6:$B$100="VND-032")*(Payment_Data.$J$6:$J$100=AX$6)*(Payment_Data.$I$6:$I$100)),0)</f>
        <v/>
      </c>
      <c r="AY41" s="74">
        <f>IFERROR(SUMPRODUCT((Payment_Data.$B$6:$B$100="VND-032")*(Payment_Data.$J$6:$J$100=AY$6)*(Payment_Data.$I$6:$I$100)),0)</f>
        <v/>
      </c>
      <c r="AZ41" s="74">
        <f>IFERROR(SUMPRODUCT((Payment_Data.$B$6:$B$100="VND-032")*(Payment_Data.$J$6:$J$100=AZ$6)*(Payment_Data.$I$6:$I$100)),0)</f>
        <v/>
      </c>
      <c r="BA41" s="74">
        <f>IFERROR(SUMPRODUCT((Payment_Data.$B$6:$B$100="VND-032")*(Payment_Data.$J$6:$J$100=BA$6)*(Payment_Data.$I$6:$I$100)),0)</f>
        <v/>
      </c>
      <c r="BB41" s="74">
        <f>IFERROR(SUMPRODUCT((Payment_Data.$B$6:$B$100="VND-032")*(Payment_Data.$J$6:$J$100=BB$6)*(Payment_Data.$I$6:$I$100)),0)</f>
        <v/>
      </c>
      <c r="BC41" s="74">
        <f>IFERROR(SUMPRODUCT((Payment_Data.$B$6:$B$100="VND-032")*(Payment_Data.$J$6:$J$100=BC$6)*(Payment_Data.$I$6:$I$100)),0)</f>
        <v/>
      </c>
      <c r="BD41" s="74">
        <f>IFERROR(SUMPRODUCT((Payment_Data.$B$6:$B$100="VND-032")*(Payment_Data.$J$6:$J$100=BD$6)*(Payment_Data.$I$6:$I$100)),0)</f>
        <v/>
      </c>
      <c r="BE41" s="74">
        <f>IFERROR(SUMPRODUCT((Payment_Data.$B$6:$B$100="VND-032")*(Payment_Data.$J$6:$J$100=BE$6)*(Payment_Data.$I$6:$I$100)),0)</f>
        <v/>
      </c>
      <c r="BF41" s="74">
        <f>IFERROR(SUMPRODUCT((Payment_Data.$B$6:$B$100="VND-032")*(Payment_Data.$J$6:$J$100=BF$6)*(Payment_Data.$I$6:$I$100)),0)</f>
        <v/>
      </c>
      <c r="BG41" s="74">
        <f>IFERROR(SUMPRODUCT((Payment_Data.$B$6:$B$100="VND-032")*(Payment_Data.$J$6:$J$100=BG$6)*(Payment_Data.$I$6:$I$100)),0)</f>
        <v/>
      </c>
      <c r="BH41" s="74">
        <f>IFERROR(SUMPRODUCT((Payment_Data.$B$6:$B$100="VND-032")*(Payment_Data.$J$6:$J$100=BH$6)*(Payment_Data.$I$6:$I$100)),0)</f>
        <v/>
      </c>
      <c r="BI41" s="74">
        <f>IFERROR(SUMPRODUCT((Payment_Data.$B$6:$B$100="VND-032")*(Payment_Data.$J$6:$J$100=BI$6)*(Payment_Data.$I$6:$I$100)),0)</f>
        <v/>
      </c>
      <c r="BJ41" s="74">
        <f>IFERROR(SUMPRODUCT((Payment_Data.$B$6:$B$100="VND-032")*(Payment_Data.$J$6:$J$100=BJ$6)*(Payment_Data.$I$6:$I$100)),0)</f>
        <v/>
      </c>
      <c r="BK41" s="74">
        <f>IFERROR(SUMPRODUCT((Payment_Data.$B$6:$B$100="VND-032")*(Payment_Data.$J$6:$J$100=BK$6)*(Payment_Data.$I$6:$I$100)),0)</f>
        <v/>
      </c>
      <c r="BL41" s="74">
        <f>IFERROR(SUMPRODUCT((Payment_Data.$B$6:$B$100="VND-032")*(Payment_Data.$J$6:$J$100=BL$6)*(Payment_Data.$I$6:$I$100)),0)</f>
        <v/>
      </c>
    </row>
    <row r="44">
      <c r="A44" s="21" t="inlineStr">
        <is>
          <t>STATUS LEGEND:</t>
        </is>
      </c>
    </row>
    <row r="45">
      <c r="A45" s="49" t="inlineStr">
        <is>
          <t>PAID</t>
        </is>
      </c>
    </row>
    <row r="46">
      <c r="A46" s="47" t="inlineStr">
        <is>
          <t>PENDING</t>
        </is>
      </c>
    </row>
    <row r="47">
      <c r="A47" s="86" t="inlineStr">
        <is>
          <t>SCHEDULED</t>
        </is>
      </c>
    </row>
    <row r="48">
      <c r="A48" s="50" t="inlineStr">
        <is>
          <t>POSTPONED</t>
        </is>
      </c>
    </row>
    <row r="49">
      <c r="A49" s="87" t="inlineStr">
        <is>
          <t>OVERDUE</t>
        </is>
      </c>
    </row>
  </sheetData>
  <mergeCells count="10">
    <mergeCell ref="A1:D1"/>
    <mergeCell ref="A40:D40"/>
    <mergeCell ref="A9:D9"/>
    <mergeCell ref="A21:D21"/>
    <mergeCell ref="A30:D30"/>
    <mergeCell ref="A15:D15"/>
    <mergeCell ref="A25:D25"/>
    <mergeCell ref="A44:B44"/>
    <mergeCell ref="A2:D2"/>
    <mergeCell ref="A36:D36"/>
  </mergeCells>
  <conditionalFormatting sqref="E10:BL40">
    <cfRule type="expression" priority="1" dxfId="0">
      <formula>AND($E10&gt;0,$D10="PAID")</formula>
    </cfRule>
    <cfRule type="expression" priority="2" dxfId="1">
      <formula>AND($E10&gt;0,$D10="PENDING")</formula>
    </cfRule>
    <cfRule type="expression" priority="3" dxfId="2">
      <formula>AND($E10&gt;0,$D10="POSTPONED")</formula>
    </cfRule>
    <cfRule type="expression" priority="4" dxfId="3">
      <formula>AND($E10&gt;0,$D10="SCHEDULED")</formula>
    </cfRule>
    <cfRule type="expression" priority="5" dxfId="4">
      <formula>AND($E10&gt;0,$D10="OVERDUE")</formula>
    </cfRule>
    <cfRule type="expression" priority="6" dxfId="5">
      <formula>E10&gt;0</formula>
    </cfRule>
  </conditionalFormatting>
  <conditionalFormatting sqref="E10:BN50">
    <cfRule type="cellIs" priority="7" operator="greaterThan" dxfId="6">
      <formula>0</formula>
    </cfRule>
    <cfRule type="cellIs" priority="8" operator="greaterThan" dxfId="7">
      <formula>100000</formula>
    </cfRule>
    <cfRule type="cellIs" priority="9" operator="greaterThan" dxfId="8">
      <formula>500000</formula>
    </cfRule>
  </conditionalFormatting>
  <conditionalFormatting sqref="E8:E50">
    <cfRule type="expression" priority="10" dxfId="9">
      <formula>OR($E$7="Fri",$E$7="Sat")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2025-12-10T05:57:18Z</dcterms:created>
  <dcterms:modified xsi:type="dcterms:W3CDTF">2025-12-10T06:28:15Z</dcterms:modified>
</cp:coreProperties>
</file>